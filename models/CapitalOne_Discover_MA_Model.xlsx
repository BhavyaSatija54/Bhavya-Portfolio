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Key Assumptions" sheetId="2" state="visible" r:id="rId4"/>
    <sheet name="Sources &amp; Uses" sheetId="3" state="visible" r:id="rId5"/>
    <sheet name="Standalone Financials" sheetId="4" state="visible" r:id="rId6"/>
    <sheet name="Synergy Build" sheetId="5" state="visible" r:id="rId7"/>
    <sheet name="Accretion-Dilution" sheetId="6" state="visible" r:id="rId8"/>
    <sheet name="Sensitivity" sheetId="7" state="visible" r:id="rId9"/>
    <sheet name="Capital Impact" sheetId="8" state="visible" r:id="rId10"/>
    <sheet name="Regulatory &amp; Credit Risk" sheetId="9" state="visible" r:id="rId11"/>
    <sheet name="Precedent Transaction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<sst xmlns="http://schemas.openxmlformats.org/spreadsheetml/2006/main" count="455" uniqueCount="442">
  <si>
    <t xml:space="preserve">Project Compass</t>
  </si>
  <si>
    <t xml:space="preserve">Capital One Financial Corporation (NYSE: COF) — Acquisition of Discover Financial Services (NYSE: DFS)</t>
  </si>
  <si>
    <t xml:space="preserve">M&amp;A DEAL ANALYSIS — ACCRETION / DILUTION, SYNERGY, REGULATORY &amp; CREDIT CONCENTRATION RISK ASSESSMENT</t>
  </si>
  <si>
    <t xml:space="preserve">Prepared for:</t>
  </si>
  <si>
    <t xml:space="preserve">Investment Committee — Illustrative Deal Team Case Study</t>
  </si>
  <si>
    <t xml:space="preserve">Prepared by:</t>
  </si>
  <si>
    <t xml:space="preserve">M&amp;A / FIG Coverage — Corporate Development</t>
  </si>
  <si>
    <t xml:space="preserve">Date:</t>
  </si>
  <si>
    <t xml:space="preserve">September 2026 (analysis reflects deal history through close, May 2025)</t>
  </si>
  <si>
    <t xml:space="preserve">Status:</t>
  </si>
  <si>
    <t xml:space="preserve">Transaction CLOSED — May 18, 2025 (used here as a fully-modelled illustrative case study)</t>
  </si>
  <si>
    <t xml:space="preserve">TRANSACTION SNAPSHOT</t>
  </si>
  <si>
    <t xml:space="preserve">Announcement date</t>
  </si>
  <si>
    <t xml:space="preserve">February 19, 2024</t>
  </si>
  <si>
    <t xml:space="preserve">Closing date</t>
  </si>
  <si>
    <t xml:space="preserve">May 18, 2025 (~14-month regulatory review)</t>
  </si>
  <si>
    <t xml:space="preserve">Transaction value (announced)</t>
  </si>
  <si>
    <t xml:space="preserve">$35.3 billion, 100% stock-for-stock</t>
  </si>
  <si>
    <t xml:space="preserve">Exchange ratio</t>
  </si>
  <si>
    <t xml:space="preserve">1.0192 COF shares per DFS share (fixed)</t>
  </si>
  <si>
    <t xml:space="preserve">Premium to DFS unaffected price</t>
  </si>
  <si>
    <t xml:space="preserve">26.6% (see Key Assumptions tab)</t>
  </si>
  <si>
    <t xml:space="preserve">Pro forma ownership</t>
  </si>
  <si>
    <t xml:space="preserve">~60% COF / ~40% DFS legacy shareholders</t>
  </si>
  <si>
    <t xml:space="preserve">Run-rate synergies (by 2027)</t>
  </si>
  <si>
    <t xml:space="preserve">~$2.7bn pre-tax ($1.5bn cost + $1.2bn network)</t>
  </si>
  <si>
    <t xml:space="preserve">One-time integration costs (guided)</t>
  </si>
  <si>
    <t xml:space="preserve">~$2.8bn pre-tax</t>
  </si>
  <si>
    <t xml:space="preserve">Adjusted (non-GAAP) EPS accretion</t>
  </si>
  <si>
    <t xml:space="preserve">Double-digit in 2026; &gt;15% in 2027 (mgmt guidance)</t>
  </si>
  <si>
    <t xml:space="preserve">Pro forma CET1 ratio at close</t>
  </si>
  <si>
    <t xml:space="preserve">~14.0%</t>
  </si>
  <si>
    <t xml:space="preserve">Financial advisors</t>
  </si>
  <si>
    <t xml:space="preserve">Centerview Partners (COF) / PJT Partners (DFS)</t>
  </si>
  <si>
    <t xml:space="preserve">Key regulators</t>
  </si>
  <si>
    <t xml:space="preserve">Federal Reserve, OCC, Delaware State Bank Commissioner, DOJ (antitrust review)</t>
  </si>
  <si>
    <t xml:space="preserve">WHAT THIS MODEL COVERS</t>
  </si>
  <si>
    <t xml:space="preserve">1.  Key Assumptions — deal terms, tax/discount rate, synergy phase-in, purchase accounting inputs</t>
  </si>
  <si>
    <t xml:space="preserve">2.  Sources &amp; Uses — all-stock consideration structure and transaction cost memo</t>
  </si>
  <si>
    <t xml:space="preserve">3.  Standalone Financials — FY2023A actuals for COF and DFS (last full year pre-signing)</t>
  </si>
  <si>
    <t xml:space="preserve">4.  Synergy Build — cost &amp; network/revenue synergy ramp, 2025E–2030E, net of integration costs</t>
  </si>
  <si>
    <t xml:space="preserve">5.  Accretion / Dilution — adjusted (non-GAAP) and GAAP pro forma EPS bridge, 2025E–2028E</t>
  </si>
  <si>
    <t xml:space="preserve">6.  Sensitivity Analysis — EPS accretion vs. premium paid and synergy realization</t>
  </si>
  <si>
    <t xml:space="preserve">7.  Capital Impact — pro forma CET1 ratio bridge</t>
  </si>
  <si>
    <t xml:space="preserve">8.  Regulatory &amp; Credit Concentration Risk — scored risk register + concentration metrics</t>
  </si>
  <si>
    <t xml:space="preserve">9.  Precedent Transactions — large-bank M&amp;A benchmarking context</t>
  </si>
  <si>
    <t xml:space="preserve">Note on methodology: this is an independently constructed, fully-formula-driven analyst model built to reflect the actual disclosed terms and outcomes of the Capital One / Discover transaction. Deal value, exchange ratio, premium, synergy guidance, integration cost guidance, the initial non-PCD CECL allowance build, and the pro forma CET1 outcome are drawn directly from company filings, press releases and earnings calls — see the source notes on each tab. Multi-year projections, growth rates applied to standalone earnings, and certain purchase-accounting line items such as intangible amortization phasing and the RWA add are illustrative analyst estimates calibrated to land on management's disclosed outcomes, and are clearly flagged as such. This is a training/analysis exercise, not investment advice, and should not be relied upon as Capital One or Discover's actual reported financial results.</t>
  </si>
  <si>
    <t xml:space="preserve">Key Assumptions</t>
  </si>
  <si>
    <t xml:space="preserve">Blue = hardcoded input (sourced) · Black = formula · Yellow = key output check</t>
  </si>
  <si>
    <t xml:space="preserve">1. SHARE PRICE, EXCHANGE RATIO &amp; PREMIUM</t>
  </si>
  <si>
    <t xml:space="preserve">Discover (DFS) unaffected share price (2/16/24 close)</t>
  </si>
  <si>
    <t xml:space="preserve">Source: DEFM14A / joint proxy statement, Feb-2024 press release</t>
  </si>
  <si>
    <t xml:space="preserve">Capital One (COF) unaffected share price (2/16/24 close)</t>
  </si>
  <si>
    <t xml:space="preserve">Source: NYSE closing price, 2/16/2024</t>
  </si>
  <si>
    <t xml:space="preserve">Fixed exchange ratio (COF shares per DFS share)</t>
  </si>
  <si>
    <t xml:space="preserve">Source: Agreement &amp; Plan of Merger, dated 2/19/2024</t>
  </si>
  <si>
    <t xml:space="preserve">Implied offer price per DFS share</t>
  </si>
  <si>
    <t xml:space="preserve">Implied premium to DFS unaffected price</t>
  </si>
  <si>
    <t xml:space="preserve">Company-disclosed premium: 26.6% — model reconciles to disclosed figure</t>
  </si>
  <si>
    <t xml:space="preserve">2. TRANSACTION STRUCTURE &amp; PRO FORMA OWNERSHIP</t>
  </si>
  <si>
    <t xml:space="preserve">New COF shares issued to DFS holders (mm)</t>
  </si>
  <si>
    <t xml:space="preserve">Source: DEFM14A (Dec-2024 record date basis)</t>
  </si>
  <si>
    <t xml:space="preserve">COF diluted weighted-avg shares outstanding, FY2023A (mm)</t>
  </si>
  <si>
    <t xml:space="preserve">Source: COF FY2023 10-K / Q4'23 earnings release</t>
  </si>
  <si>
    <t xml:space="preserve">Pro forma diluted shares outstanding (mm)</t>
  </si>
  <si>
    <t xml:space="preserve">COF legacy shareholders — pro forma ownership %</t>
  </si>
  <si>
    <t xml:space="preserve">DFS legacy shareholders — pro forma ownership %</t>
  </si>
  <si>
    <t xml:space="preserve">Check: should reconcile to disclosed ~60% / ~40% split</t>
  </si>
  <si>
    <t xml:space="preserve">Illustrative signing-date equity consideration (257mm shares × unaffected COF price $137.24)</t>
  </si>
  <si>
    <t xml:space="preserve">Model-derived check figure (257mm shares × unaffected price), not identical to the disclosed $35.3bn deal value below</t>
  </si>
  <si>
    <t xml:space="preserve">Disclosed transaction value, per Feb-2024 announcement ($mm)</t>
  </si>
  <si>
    <t xml:space="preserve">Source: Capital One / Discover joint press release, 2/19/2024. NOTE: actual fair-value purchase consideration at</t>
  </si>
  <si>
    <t xml:space="preserve">  → see Section 7 below ("Actual Closing Outcome") for the real $51.8bn figure and why it differs</t>
  </si>
  <si>
    <t xml:space="preserve">closing (May-2025) was $51.8bn, materially higher, since COF's share price appreciated between announcement and</t>
  </si>
  <si>
    <t xml:space="preserve">3. TAX &amp; DISCOUNT RATE ASSUMPTIONS</t>
  </si>
  <si>
    <t xml:space="preserve">Marginal tax rate applied to synergies / one-time costs</t>
  </si>
  <si>
    <t xml:space="preserve">Illustrative blended U.S. federal + state statutory rate</t>
  </si>
  <si>
    <t xml:space="preserve">Illustrative cost of equity / discount rate</t>
  </si>
  <si>
    <t xml:space="preserve">Illustrative — used for NPV / value-creation commentary only</t>
  </si>
  <si>
    <t xml:space="preserve">Standalone organic net income (to common) growth rate — simplified analyst assumption</t>
  </si>
  <si>
    <t xml:space="preserve">A simplified single-rate assumption, informed by the long-term growth rate used in the S-4 fairness-opinion</t>
  </si>
  <si>
    <t xml:space="preserve">projections (which varies by year/entity, e.g. DFS ~13% in 2025 before ~7% long-term) — not a literal reproduction.</t>
  </si>
  <si>
    <t xml:space="preserve">4. SYNERGY ASSUMPTIONS ($mm, pre-tax, run-rate by year)</t>
  </si>
  <si>
    <t xml:space="preserve">Total run-rate synergies, pre-tax ($mm) — disclosed schedule</t>
  </si>
  <si>
    <t xml:space="preserve">Source: S-4 — synergies provided to COF board / Centerview</t>
  </si>
  <si>
    <t xml:space="preserve">2027 target — cost / expense synergies ($mm)</t>
  </si>
  <si>
    <t xml:space="preserve">Source: company guidance — "$1.5bn expense synergies by 2027"</t>
  </si>
  <si>
    <t xml:space="preserve">2027 target — network / revenue synergies ($mm)</t>
  </si>
  <si>
    <t xml:space="preserve">Source: company guidance — "$1.2bn network synergies by 2027" (routing volume to Discover Network)</t>
  </si>
  <si>
    <t xml:space="preserve">Check: 2027 cost + network synergies vs. disclosed $2.7bn total</t>
  </si>
  <si>
    <t xml:space="preserve">Should equal ~0 (2027 total synergies less sum of components)</t>
  </si>
  <si>
    <t xml:space="preserve">Cost / expense synergies, pre-tax ($mm), by year</t>
  </si>
  <si>
    <t xml:space="preserve">Network / revenue synergies, pre-tax ($mm), by year</t>
  </si>
  <si>
    <t xml:space="preserve">5. INTEGRATION COSTS &amp; PURCHASE ACCOUNTING ASSUMPTIONS</t>
  </si>
  <si>
    <t xml:space="preserve">One-time integration costs, total pre-tax ($mm)</t>
  </si>
  <si>
    <t xml:space="preserve">Source: company guidance at announcement (actual costs later guided to modestly exceed this)</t>
  </si>
  <si>
    <t xml:space="preserve">Phasing — % of total integration cost incurred in 2025 / 2026 / 2027</t>
  </si>
  <si>
    <t xml:space="preserve">Illustrative phasing — heaviest in year of close/first full year</t>
  </si>
  <si>
    <t xml:space="preserve">Integration costs, pre-tax ($mm), by year</t>
  </si>
  <si>
    <t xml:space="preserve">Initial CECL allowance build, non-PCD loans, pre-tax, via provision expense ($mm)</t>
  </si>
  <si>
    <t xml:space="preserve">Source: COF Q2'25 earnings — actual reported day-1 allowance build on close</t>
  </si>
  <si>
    <t xml:space="preserve">  Timing: recognized in year of close (2025 only, GAAP-only item)</t>
  </si>
  <si>
    <t xml:space="preserve">Incremental intangible amortization, pre-tax ($mm/yr, declining)</t>
  </si>
  <si>
    <t xml:space="preserve">Illustrative — core deposit / customer relationship intangibles from purchase accounting</t>
  </si>
  <si>
    <t xml:space="preserve">6. CAPITAL / CET1 ASSUMPTIONS</t>
  </si>
  <si>
    <t xml:space="preserve">COF standalone risk-weighted assets, FY2023A ($mm, approx.)</t>
  </si>
  <si>
    <t xml:space="preserve">Illustrative estimate consistent with disclosed FY2023 CET1 ratio &amp; capital base</t>
  </si>
  <si>
    <t xml:space="preserve">COF standalone CET1 ratio, FY2023A</t>
  </si>
  <si>
    <t xml:space="preserve">Source: COF FY2023 10-K</t>
  </si>
  <si>
    <t xml:space="preserve">COF standalone CET1 capital, FY2023A ($mm)</t>
  </si>
  <si>
    <t xml:space="preserve">DFS acquired loan book — RWA added, illustrative ($mm)</t>
  </si>
  <si>
    <t xml:space="preserve">Illustrative estimate — DFS card/student/personal loan book, risk-weighted</t>
  </si>
  <si>
    <t xml:space="preserve">DFS tangible book value per share, FY2023A ($)</t>
  </si>
  <si>
    <t xml:space="preserve">Source: DFS FY2023 10-K</t>
  </si>
  <si>
    <t xml:space="preserve">DFS tangible common equity, FY2023A ($mm)</t>
  </si>
  <si>
    <t xml:space="preserve">Goodwill &amp; other intangibles — ILLUSTRATIVE SIGNING-DATE PLUG ($mm)</t>
  </si>
  <si>
    <t xml:space="preserve">NOT an actual figure — a simplified analyst plug sized only so the Capital Impact tab's illustrative, static</t>
  </si>
  <si>
    <t xml:space="preserve">signing-date bridge lands near the ~14.0% CET1 actually disclosed at closing. Actual goodwill, after the Q3'25</t>
  </si>
  <si>
    <t xml:space="preserve">measurement-period adjustment, was $13.78bn, plus $17.61bn of intangibles (see Section 7), over 4x this plug, since actual purchase</t>
  </si>
  <si>
    <t xml:space="preserve">accounting used the $51.8bn actual consideration, not the $35.3bn announced value. Do not cite C52 as a real figure.</t>
  </si>
  <si>
    <t xml:space="preserve">7. ACTUAL CLOSING OUTCOME — PER COF Q2'25 / Q3'25 10-Q (FACTUAL DISCLOSURE, NOT AN INPUT TO THE SIGNING-DATE MODEL ABOVE)</t>
  </si>
  <si>
    <t xml:space="preserve">This section records what actually happened at and after closing (May 18, 2025), for comparison against the</t>
  </si>
  <si>
    <t xml:space="preserve">signing-date model in Sections 1-6, which intentionally reflects only information available in Feb-2024 plus</t>
  </si>
  <si>
    <t xml:space="preserve">clearly-labeled illustrative assumptions. Two figures below (total consideration; CET1 at close) are also referenced</t>
  </si>
  <si>
    <t xml:space="preserve">by the 'Capital Impact' and 'Accretion-Dilution' tabs for side-by-side comparison only — that reference does not</t>
  </si>
  <si>
    <t xml:space="preserve">Discover shares of common stock exchanged at closing (mm)</t>
  </si>
  <si>
    <t xml:space="preserve">Source: COF Form 10-Q for Q2 2025 (filed with SEC)</t>
  </si>
  <si>
    <t xml:space="preserve">  Common stock consideration issued (treasury shares reissued), fair value ($mm)</t>
  </si>
  <si>
    <t xml:space="preserve">Source: COF 10-Q — 256.497mm shares reissued from treasury, valued at $50,586mm at the 5/18/2025 close price</t>
  </si>
  <si>
    <t xml:space="preserve">  Other consideration — preferred stock (Series O / P, to DFS preferred holders) and replacement equity awards ($mm)</t>
  </si>
  <si>
    <t xml:space="preserve">Source: COF 10-Q</t>
  </si>
  <si>
    <t xml:space="preserve">Total actual fair-value purchase consideration at closing ($mm)</t>
  </si>
  <si>
    <t xml:space="preserve">Company-disclosed total: $51.8bn ($51,793mm), which this model check should equal; vs. $35.3bn announced value (+47%,</t>
  </si>
  <si>
    <t xml:space="preserve">driven almost entirely by COF's own share price rising from ~$137 at announcement to ~$197 at close, since the exchange</t>
  </si>
  <si>
    <t xml:space="preserve">ratio was fixed, so dollar consideration in an all-stock deal scales with the acquirer's share price at closing.</t>
  </si>
  <si>
    <t xml:space="preserve">Actual goodwill recorded ($mm) — after Q3'25 measurement-period adjustment</t>
  </si>
  <si>
    <t xml:space="preserve">Source: COF Q2'25 10-Q preliminary goodwill $13,242mm + Q3'25 10-Q measurement-period increase of $536mm</t>
  </si>
  <si>
    <t xml:space="preserve">Actual identifiable intangible assets recorded, total ($mm) — after Q3'25 measurement-period adjustment</t>
  </si>
  <si>
    <t xml:space="preserve">Source: COF Q2'25 10-Q preliminary intangibles $18,210mm less Q3'25 10-Q measurement-period decrease of $600mm</t>
  </si>
  <si>
    <t xml:space="preserve">Both figures reflect the disclosed measurement-period adjustment through Q3'25; further adjustments are possible</t>
  </si>
  <si>
    <t xml:space="preserve">Actual identifiable assets acquired, total ($mm)</t>
  </si>
  <si>
    <t xml:space="preserve">Source: COF 10-Q — incl. loans $108.2bn, deposits assumed $106.9bn</t>
  </si>
  <si>
    <t xml:space="preserve">Actual initial CECL allowance build, non-PCD loans, pre-tax, via provision expense ($mm)</t>
  </si>
  <si>
    <t xml:space="preserve">Source: COF Q2'25 earnings release / 10-Q — matches the $8.8bn figure used in the signing-date model above</t>
  </si>
  <si>
    <t xml:space="preserve">Actual initial CECL allowance, PCD loans, established via purchase accounting ($mm)</t>
  </si>
  <si>
    <t xml:space="preserve">Source: COF Q2'25 earnings release — separate from, and additive to, the $8.8bn non-PCD provision-expense item</t>
  </si>
  <si>
    <t xml:space="preserve">COF CET1 ratio, 12/31/2024 (last quarter-end pre-close)</t>
  </si>
  <si>
    <t xml:space="preserve">Source: COF Q4'24 10-K</t>
  </si>
  <si>
    <t xml:space="preserve">COF CET1 ratio, 6/30/2025 (quarter of close)</t>
  </si>
  <si>
    <t xml:space="preserve">Source: COF Q2'25 10-Q — the 0.5pt rise despite the reserve build and goodwill/intangible creation confirms the</t>
  </si>
  <si>
    <t xml:space="preserve">all-stock structure was net capital-supportive, even though the SIZE of the actual bridge differs from the</t>
  </si>
  <si>
    <t xml:space="preserve">illustrative Section-6 plug above.</t>
  </si>
  <si>
    <t xml:space="preserve">COF Q2'25 GAAP net income / (loss) to common ($mm) and diluted EPS</t>
  </si>
  <si>
    <t xml:space="preserve">Source: COF Q2'25 earnings release — GAAP loss driven by the acquisition-related items above</t>
  </si>
  <si>
    <t xml:space="preserve">COF Q2'25 adjusted (non-GAAP) diluted EPS ($)</t>
  </si>
  <si>
    <t xml:space="preserve">Source: COF Q2'25 earnings release — positive adjusted result despite the GAAP loss above</t>
  </si>
  <si>
    <t xml:space="preserve">Integration expenses incurred through 6/30/2025 ($mm), vs. $2.8bn original total guidance</t>
  </si>
  <si>
    <t xml:space="preserve">Source: COF 10-Q. Management (Fairbank, Q2'25 call) guided total costs 'somewhat higher' than the original $2.8bn</t>
  </si>
  <si>
    <t xml:space="preserve">Sources &amp; Uses of Funds</t>
  </si>
  <si>
    <t xml:space="preserve">100% stock-for-stock consideration — no cash or new debt raised at the holding-company level</t>
  </si>
  <si>
    <t xml:space="preserve">SOURCES</t>
  </si>
  <si>
    <t xml:space="preserve">USES</t>
  </si>
  <si>
    <t xml:space="preserve">New Capital One common equity issued (illustrative signing-date value)</t>
  </si>
  <si>
    <t xml:space="preserve">Purchase of Discover Financial Services common equity (illustrative signing-date value)</t>
  </si>
  <si>
    <t xml:space="preserve">Cash on hand used</t>
  </si>
  <si>
    <t xml:space="preserve">New debt raised</t>
  </si>
  <si>
    <t xml:space="preserve">Total Sources</t>
  </si>
  <si>
    <t xml:space="preserve">Total Uses</t>
  </si>
  <si>
    <t xml:space="preserve">Check: Sources = Uses</t>
  </si>
  <si>
    <t xml:space="preserve">Note: the $35.27bn above is this model's illustrative 257mm-shares x unaffected-price check, used for signing-date modeling consistency — not identical to the $35.3bn announced value or the $51.8bn actual closing consideration (Key Assumptions, Section 7).</t>
  </si>
  <si>
    <t xml:space="preserve">MEMO ITEMS (funded from combined operating cash flow / excess capital — not part of stock consideration)</t>
  </si>
  <si>
    <t xml:space="preserve">Estimated one-time integration &amp; restructuring costs (pre-tax, cumulative)</t>
  </si>
  <si>
    <t xml:space="preserve">Estimated advisory, legal &amp; other transaction fees</t>
  </si>
  <si>
    <t xml:space="preserve">Illustrative estimate for a transaction of this size and complexity</t>
  </si>
  <si>
    <t xml:space="preserve">Goodwill &amp; other intangibles created (non-cash, balance sheet only)</t>
  </si>
  <si>
    <t xml:space="preserve">Initial non-PCD CECL allowance build (non-cash, day-1 provision-expense charge)</t>
  </si>
  <si>
    <t xml:space="preserve">FINANCIAL ADVISORS &amp; KEY DEAL PARTIES</t>
  </si>
  <si>
    <t xml:space="preserve">Acquirer</t>
  </si>
  <si>
    <t xml:space="preserve">Capital One Financial Corporation (NYSE: COF)</t>
  </si>
  <si>
    <t xml:space="preserve">Target</t>
  </si>
  <si>
    <t xml:space="preserve">Discover Financial Services (NYSE: DFS)</t>
  </si>
  <si>
    <t xml:space="preserve">Acquirer financial advisor</t>
  </si>
  <si>
    <t xml:space="preserve">Centerview Partners</t>
  </si>
  <si>
    <t xml:space="preserve">Acquirer legal counsel</t>
  </si>
  <si>
    <t xml:space="preserve">Wachtell, Lipton, Rosen &amp; Katz</t>
  </si>
  <si>
    <t xml:space="preserve">Target financial advisor</t>
  </si>
  <si>
    <t xml:space="preserve">PJT Partners</t>
  </si>
  <si>
    <t xml:space="preserve">Target legal counsel</t>
  </si>
  <si>
    <t xml:space="preserve">Cleary Gottlieb Steen &amp; Hamilton</t>
  </si>
  <si>
    <t xml:space="preserve">Structure</t>
  </si>
  <si>
    <t xml:space="preserve">Two-step reverse triangular merger via Vega Merger Sub, Inc., followed by bank-level merger of Discover Bank into CONA</t>
  </si>
  <si>
    <t xml:space="preserve">Source: Agreement &amp; Plan of Merger and joint proxy statement/prospectus (Form S-4/DEFM14A), Feb 2024</t>
  </si>
  <si>
    <t xml:space="preserve">Standalone Financials — FY2023A (Last Full Year Pre-Signing)</t>
  </si>
  <si>
    <t xml:space="preserve">All figures as reported; both companies' fiscal years end December 31</t>
  </si>
  <si>
    <t xml:space="preserve">Capital One (COF)</t>
  </si>
  <si>
    <t xml:space="preserve">Discover (DFS)</t>
  </si>
  <si>
    <t xml:space="preserve">Combined</t>
  </si>
  <si>
    <t xml:space="preserve">Total net revenue ($mm)</t>
  </si>
  <si>
    <t xml:space="preserve">Net income, total ($mm)</t>
  </si>
  <si>
    <t xml:space="preserve">Less: preferred stock dividends ($mm)</t>
  </si>
  <si>
    <t xml:space="preserve">Net income available to common ($mm)</t>
  </si>
  <si>
    <t xml:space="preserve">Diluted weighted-avg shares outstanding (mm)</t>
  </si>
  <si>
    <t xml:space="preserve">Diluted EPS ($)</t>
  </si>
  <si>
    <t xml:space="preserve">Total assets, period-end ($bn)</t>
  </si>
  <si>
    <t xml:space="preserve">Total deposits, period-end ($bn)</t>
  </si>
  <si>
    <t xml:space="preserve">CET1 capital ratio</t>
  </si>
  <si>
    <t xml:space="preserve">n/a</t>
  </si>
  <si>
    <t xml:space="preserve">Tangible book value per share ($)</t>
  </si>
  <si>
    <t xml:space="preserve">Sources: COF FY2023 Form 10-K &amp; Q4'23 earnings release (SEC EDGAR); DFS Q4'23/FY2023 earnings release (SEC EDGAR, Businesswire 1/16/2024).</t>
  </si>
  <si>
    <t xml:space="preserve">DFS total assets &amp; deposits are illustrative estimates consistent with FY2023 10-K scale; CET1 ratios per respective 10-Ks.</t>
  </si>
  <si>
    <t xml:space="preserve">STANDALONE (NO-DEAL) FORWARD PROJECTION — combined net income to common, organic growth basis</t>
  </si>
  <si>
    <t xml:space="preserve">Organic growth rate applied (from Key Assumptions)</t>
  </si>
  <si>
    <t xml:space="preserve">FY2023A</t>
  </si>
  <si>
    <t xml:space="preserve">2024E</t>
  </si>
  <si>
    <t xml:space="preserve">2025E</t>
  </si>
  <si>
    <t xml:space="preserve">2026E</t>
  </si>
  <si>
    <t xml:space="preserve">2027E</t>
  </si>
  <si>
    <t xml:space="preserve">2028E</t>
  </si>
  <si>
    <t xml:space="preserve">COF standalone net income to common ($mm)</t>
  </si>
  <si>
    <t xml:space="preserve">DFS standalone net income to common ($mm)</t>
  </si>
  <si>
    <t xml:space="preserve">Combined standalone net income to common ($mm)</t>
  </si>
  <si>
    <t xml:space="preserve">Synergy Build &amp; Integration Cost Ramp</t>
  </si>
  <si>
    <t xml:space="preserve">$ in millions, pre-tax unless noted · sourced to company guidance in Key Assumptions</t>
  </si>
  <si>
    <t xml:space="preserve">Cost / expense synergies, pre-tax ($mm)</t>
  </si>
  <si>
    <t xml:space="preserve">Network / revenue synergies, pre-tax ($mm)</t>
  </si>
  <si>
    <t xml:space="preserve">Total run-rate synergies, pre-tax ($mm)</t>
  </si>
  <si>
    <t xml:space="preserve">% of 2027 run-rate target achieved</t>
  </si>
  <si>
    <t xml:space="preserve">Less: cash tax on synergies</t>
  </si>
  <si>
    <t xml:space="preserve">After-tax synergies ($mm)</t>
  </si>
  <si>
    <t xml:space="preserve">ONE-TIME INTEGRATION COSTS</t>
  </si>
  <si>
    <t xml:space="preserve">Integration &amp; restructuring costs, pre-tax ($mm)</t>
  </si>
  <si>
    <t xml:space="preserve">Tax benefit on integration costs</t>
  </si>
  <si>
    <t xml:space="preserve">After-tax integration costs ($mm)</t>
  </si>
  <si>
    <t xml:space="preserve">Net synergy benefit after-tax, net of integration costs ($mm)</t>
  </si>
  <si>
    <t xml:space="preserve">Synergy schedule sourced to S-4 fairness-opinion projections; cost/network split per company deal announcement (2/19/2024).</t>
  </si>
  <si>
    <t xml:space="preserve">Integration cost total per company guidance at announcement; actual costs were later guided to modestly exceed the original $2.8bn estimate.</t>
  </si>
  <si>
    <t xml:space="preserve">Pro Forma Accretion / (Dilution) Analysis</t>
  </si>
  <si>
    <t xml:space="preserve">Adjusted (non-GAAP) and GAAP EPS bridge, 2025E–2028E · $ in millions except per-share data</t>
  </si>
  <si>
    <t xml:space="preserve">A.  STANDALONE (NO-DEAL) REFERENCE CASE</t>
  </si>
  <si>
    <t xml:space="preserve">COF standalone diluted shares outstanding (mm)</t>
  </si>
  <si>
    <t xml:space="preserve">COF standalone EPS ($) — the accretion/dilution benchmark</t>
  </si>
  <si>
    <t xml:space="preserve">B.  PRO FORMA COMBINED — ADJUSTED (NON-GAAP) BASIS</t>
  </si>
  <si>
    <t xml:space="preserve">Plus: after-tax run-rate synergies ($mm)</t>
  </si>
  <si>
    <t xml:space="preserve">Adjusted pro forma net income to common ($mm)</t>
  </si>
  <si>
    <t xml:space="preserve">Adjusted pro forma EPS ($)</t>
  </si>
  <si>
    <t xml:space="preserve">Adjusted EPS accretion / (dilution) vs. COF standalone</t>
  </si>
  <si>
    <t xml:space="preserve">C.  PRO FORMA COMBINED — GAAP REPORTED BASIS</t>
  </si>
  <si>
    <t xml:space="preserve">Less: after-tax one-time integration costs ($mm)</t>
  </si>
  <si>
    <t xml:space="preserve">Less: after-tax incremental intangible amortization ($mm)</t>
  </si>
  <si>
    <t xml:space="preserve">Less: initial non-PCD CECL allowance build, after-tax ($mm, 2025 only)</t>
  </si>
  <si>
    <t xml:space="preserve">GAAP pro forma net income to common ($mm)</t>
  </si>
  <si>
    <t xml:space="preserve">GAAP pro forma EPS ($)</t>
  </si>
  <si>
    <t xml:space="preserve">GAAP EPS accretion / (dilution) vs. COF standalone</t>
  </si>
  <si>
    <t xml:space="preserve">D.  RETURN METRICS</t>
  </si>
  <si>
    <t xml:space="preserve">ROIC vs. $35.3bn announced deal value (illustrative analyst calc)</t>
  </si>
  <si>
    <t xml:space="preserve">ROIC vs. $51.8bn actual closing purchase consideration (illustrative analyst calc)</t>
  </si>
  <si>
    <t xml:space="preserve">ROIC above = adjusted pro forma NI (to common) / consideration — a simplified analyst proxy, NOT necessarily the</t>
  </si>
  <si>
    <t xml:space="preserve">same methodology company management uses for its own '16% ROIC and &gt;20% IRR by 2027' guidance; the two ROIC figures</t>
  </si>
  <si>
    <t xml:space="preserve">above illustrate how much that ratio moves once actual ($51.8bn), rather than announced ($35.3bn), consideration is used.</t>
  </si>
  <si>
    <t xml:space="preserve">Note: management's own guidance is &gt;15% accretion to adjusted non-GAAP EPS in 2027 and double-digit accretion in 2026,</t>
  </si>
  <si>
    <t xml:space="preserve">with GAAP results roughly breakeven in 2027 as remaining synergies phase in. This model's outputs are directionally consistent</t>
  </si>
  <si>
    <t xml:space="preserve">with (though not identical to) disclosed guidance, given simplified organic-growth and purchase-accounting assumptions above.</t>
  </si>
  <si>
    <t xml:space="preserve">Model convention: all figures on this tab are a SIGNING-DATE (Feb-2024) estimate using FY2023A actuals + illustrative</t>
  </si>
  <si>
    <t xml:space="preserve">growth/synergy assumptions — see 'Key Assumptions' tab, Section 7, for actual post-closing reported results for comparison.</t>
  </si>
  <si>
    <t xml:space="preserve">Sensitivity Analysis — 2027E Adjusted EPS Accretion</t>
  </si>
  <si>
    <t xml:space="preserve">Fully formula-driven — recomputes exchange ratio, shares issued and synergy realization for each scenario</t>
  </si>
  <si>
    <t xml:space="preserve">REFERENCE / DRIVER CELLS</t>
  </si>
  <si>
    <t xml:space="preserve">DFS unaffected share price ($)</t>
  </si>
  <si>
    <t xml:space="preserve">COF unaffected share price ($)</t>
  </si>
  <si>
    <t xml:space="preserve">Reference DFS share count basis (mm) [= base new shares / base exchange ratio]</t>
  </si>
  <si>
    <t xml:space="preserve">COF pre-deal diluted shares (mm)</t>
  </si>
  <si>
    <t xml:space="preserve">2027E combined standalone NI to common ($mm) — held constant across scenarios</t>
  </si>
  <si>
    <t xml:space="preserve">2027E COF standalone EPS ($) — benchmark, held constant</t>
  </si>
  <si>
    <t xml:space="preserve">2027E base after-tax run-rate synergies ($mm) — scaled by realization %</t>
  </si>
  <si>
    <t xml:space="preserve">GRID 1 — 2027E ADJUSTED EPS ACCRETION / (DILUTION) vs. COF STANDALONE</t>
  </si>
  <si>
    <t xml:space="preserve">Rows = synergy realization vs. plan · Columns = premium paid to DFS unaffected price</t>
  </si>
  <si>
    <t xml:space="preserve">Synergy realization \ Premium</t>
  </si>
  <si>
    <t xml:space="preserve">Highlighted cell = base case (100% synergy realization, 26.6% actual premium). Each cell independently recomputes</t>
  </si>
  <si>
    <t xml:space="preserve">the exchange ratio, new shares issued, pro forma share count and after-tax synergy dollars for that scenario.</t>
  </si>
  <si>
    <t xml:space="preserve">GRID 2 — 2027E GAAP EPS ACCRETION / (DILUTION), SYNERGY REALIZATION vs. INTEGRATION COST OVERRUN</t>
  </si>
  <si>
    <t xml:space="preserve">Rows = synergy realization vs. plan · Columns = total integration cost vs. $2.8bn guided</t>
  </si>
  <si>
    <t xml:space="preserve">2027E GAAP pro forma NI build-up components ($mm)</t>
  </si>
  <si>
    <t xml:space="preserve">  Adjusted PF NI at 100% synergies ($mm)</t>
  </si>
  <si>
    <t xml:space="preserve">  After-tax integration cost at 1.00x plan, negative ($mm)</t>
  </si>
  <si>
    <t xml:space="preserve">  After-tax intangible amortization, fixed regardless of cost overrun, negative ($mm)</t>
  </si>
  <si>
    <t xml:space="preserve">  Pro forma diluted shares (mm)</t>
  </si>
  <si>
    <t xml:space="preserve">Synergy realization \ Integration cost multiple</t>
  </si>
  <si>
    <t xml:space="preserve">Highlighted cell = base case (100% synergy realization, 1.00x guided integration cost — actual costs later guided to</t>
  </si>
  <si>
    <t xml:space="preserve">modestly exceed the original $2.8bn estimate, i.e. toward the 1.25x–1.50x columns).</t>
  </si>
  <si>
    <t xml:space="preserve">Pro Forma Capital (CET1) Impact</t>
  </si>
  <si>
    <t xml:space="preserve">$ in millions unless noted · Part A is an ILLUSTRATIVE signing-date bridge; Part B is the ACTUAL reported outcome</t>
  </si>
  <si>
    <t xml:space="preserve">PART A — ILLUSTRATIVE SIGNING-DATE CET1 BRIDGE (analyst-constructed, calibrated to land near the disclosed ~14% outcome)</t>
  </si>
  <si>
    <t xml:space="preserve">Plus: new common equity issued, at $35.3bn ANNOUNCED value (illustrative — see Part B for actual $51.8bn)</t>
  </si>
  <si>
    <t xml:space="preserve">Less: goodwill &amp; intangibles — ILLUSTRATIVE PLUG, not actual (see Part B for actual $13.78bn + $17.61bn)</t>
  </si>
  <si>
    <t xml:space="preserve">Less: initial non-PCD CECL allowance build, after-tax (provision-expense item)</t>
  </si>
  <si>
    <t xml:space="preserve">Less: after-tax transaction &amp; integration costs incurred at/near close</t>
  </si>
  <si>
    <t xml:space="preserve">Pro forma CET1 capital — illustrative bridge ($mm)</t>
  </si>
  <si>
    <t xml:space="preserve">COF standalone risk-weighted assets, FY2023A ($mm, illustrative estimate)</t>
  </si>
  <si>
    <t xml:space="preserve">Plus: DFS acquired loan book — RWA added, illustrative estimate ($mm)</t>
  </si>
  <si>
    <t xml:space="preserve">Pro forma risk-weighted assets — illustrative bridge ($mm)</t>
  </si>
  <si>
    <t xml:space="preserve">Pro forma CET1 ratio at close — MODEL (illustrative bridge)</t>
  </si>
  <si>
    <t xml:space="preserve">Actual disclosed CET1 ratio, 6/30/2025 (quarter of close) — ACTUAL, for comparison</t>
  </si>
  <si>
    <t xml:space="preserve">Model vs. actual variance (pts)</t>
  </si>
  <si>
    <t xml:space="preserve">PART B — ACTUAL REPORTED OUTCOME (per COF Q2'25/Q3'25 10-Q — facts, not a model)</t>
  </si>
  <si>
    <t xml:space="preserve">Actual total purchase consideration at closing ($mm)</t>
  </si>
  <si>
    <t xml:space="preserve">Actual goodwill recorded ($mm), after Q3'25 measurement-period adjustment</t>
  </si>
  <si>
    <t xml:space="preserve">Actual identifiable intangible assets recorded ($mm), after Q3'25 measurement-period adjustment</t>
  </si>
  <si>
    <t xml:space="preserve">Actual CET1 ratio, 12/31/2024 (pre-close)</t>
  </si>
  <si>
    <t xml:space="preserve">Actual CET1 ratio, 6/30/2025 (quarter of close)</t>
  </si>
  <si>
    <t xml:space="preserve">Actual change in CET1 ratio ($pts)</t>
  </si>
  <si>
    <t xml:space="preserve">Note: the actual bridge involves substantially larger consideration, goodwill and intangibles than Part A's illustrative</t>
  </si>
  <si>
    <t xml:space="preserve">plug, because actual consideration reflects COF's May-2025 share price rather than the Feb-2024 announcement value, and yet</t>
  </si>
  <si>
    <t xml:space="preserve">the ACTUAL CET1 ratio still rose 0.5pt. We do not attempt to reconstruct the full actual RWA/capital-action bridge here</t>
  </si>
  <si>
    <t xml:space="preserve">(share buyback pauses, other capital actions, etc. are not fully disclosed at this level of granularity); Part B reports</t>
  </si>
  <si>
    <t xml:space="preserve">only the disclosed inputs and outputs, not an intermediate reconciliation.</t>
  </si>
  <si>
    <t xml:space="preserve">CONTEXT</t>
  </si>
  <si>
    <t xml:space="preserve">Both the illustrative Part A bridge and the actual Part B outcome point the same direction: the CET1 ratio improved,</t>
  </si>
  <si>
    <t xml:space="preserve">not worsened, through closing, despite a large one-time non-PCD CECL provision-expense charge and substantial goodwill</t>
  </si>
  <si>
    <t xml:space="preserve">and intangible-asset creation. This is a structural feature of an all-stock deal, since new common equity issuance is</t>
  </si>
  <si>
    <t xml:space="preserve">capital-supportive in a way that cash or debt financing would not have been, though the MAGNITUDE of Part A's</t>
  </si>
  <si>
    <t xml:space="preserve">illustrative bridge should not be read as a reconstruction of the actual purchase-accounting mechanics in Part B.</t>
  </si>
  <si>
    <t xml:space="preserve">This capital resilience is also relevant context for why regulators did not attach a materially larger capital-build</t>
  </si>
  <si>
    <t xml:space="preserve">condition to their approval, and for the timing of any post-2027 share buyback resumption.</t>
  </si>
  <si>
    <t xml:space="preserve">Regulatory &amp; Credit Concentration Risk Assessment</t>
  </si>
  <si>
    <t xml:space="preserve">Scored risk register (Likelihood x Impact, 1–5 scale) + credit concentration metrics</t>
  </si>
  <si>
    <t xml:space="preserve">RISK REGISTER</t>
  </si>
  <si>
    <t xml:space="preserve">Category</t>
  </si>
  <si>
    <t xml:space="preserve">Description</t>
  </si>
  <si>
    <t xml:space="preserve">Likelihood
(1-5)</t>
  </si>
  <si>
    <t xml:space="preserve">Impact
(1-5)</t>
  </si>
  <si>
    <t xml:space="preserve">Score</t>
  </si>
  <si>
    <t xml:space="preserve">Status / Actual Outcome</t>
  </si>
  <si>
    <t xml:space="preserve">Mitigant</t>
  </si>
  <si>
    <t xml:space="preserve">Antitrust / market concentration</t>
  </si>
  <si>
    <t xml:space="preserve">DOJ Antitrust Division review of combined share in U.S. general-purpose credit card issuance (~superprime/prime overlap) and payment network competition.</t>
  </si>
  <si>
    <t xml:space="preserve">RESOLVED — DOJ did not formally challenge the merger; consumer advocates (incl. Sen. Warren) urged a block but did not prevail.</t>
  </si>
  <si>
    <t xml:space="preserve">Discover and COF card portfolios are largely complementary by credit tier; Discover Network remains a distant #4 network, limiting horizontal network overlap concerns.</t>
  </si>
  <si>
    <t xml:space="preserve">Federal Reserve / OCC systemic &amp; 'financial stability' review</t>
  </si>
  <si>
    <t xml:space="preserve">Bank holding company merger review under the Bank Merger Act / Bank Holding Company Act, including a public OCC hearing given deal size and consumer-lending concentration.</t>
  </si>
  <si>
    <t xml:space="preserve">RESOLVED — Fed and OCC granted conditional approval 4/18/2025 after ~14-month review (incl. 147-witness OCC public hearing).</t>
  </si>
  <si>
    <t xml:space="preserve">Combined entity's ~14% pro forma CET1 ratio and $265bn, 5-year community benefits plan directly addressed safety-and-soundness and community-impact concerns raised in the review.</t>
  </si>
  <si>
    <t xml:space="preserve">CRA / community reinvestment commitments</t>
  </si>
  <si>
    <t xml:space="preserve">Regulatory and public pressure to commit to community lending, investment and philanthropy as a condition of goodwill/approval.</t>
  </si>
  <si>
    <t xml:space="preserve">RESOLVED — $265bn, 5-year community benefits plan committed (July 2024).</t>
  </si>
  <si>
    <t xml:space="preserve">Plan pre-negotiated with community groups ahead of final approval to reduce approval friction; costs are modest relative to deal scale and phased over 5 years.</t>
  </si>
  <si>
    <t xml:space="preserve">Consumer protection / pre-existing litigation</t>
  </si>
  <si>
    <t xml:space="preserve">Shareholder and consumer class actions, incl. antitrust suit (paused pending court action) and a legacy COF savings-rate mis-selling matter.</t>
  </si>
  <si>
    <t xml:space="preserve">PARTIALLY RESOLVED — COF agreed to a $425mm settlement (360 Performance Savings rate claims) shortly before closing; antitrust class action remained pending/paused as of close.</t>
  </si>
  <si>
    <t xml:space="preserve">Settlement removed a key closing-conditions overhang; residual litigation risk is manageable relative to deal size and is a COF-legacy, not Discover-driven, exposure.</t>
  </si>
  <si>
    <t xml:space="preserve">Discover pre-existing regulatory/compliance issues</t>
  </si>
  <si>
    <t xml:space="preserve">Discover self-identified a card-tier misclassification issue (merchant interchange) and faced heightened compliance scrutiny and new CEO appointment (Dec-2023) ahead of the deal.</t>
  </si>
  <si>
    <t xml:space="preserve">MITIGATED AT DILIGENCE — priced into a 26.6% premium negotiated against this backdrop; COF's compliance/risk infrastructure is being extended to Discover post-close.</t>
  </si>
  <si>
    <t xml:space="preserve">COF's public commitment to integrate Discover into its compliance management program is an explicit closing condition and post-close workstream.</t>
  </si>
  <si>
    <t xml:space="preserve">Card / unsecured consumer credit concentration</t>
  </si>
  <si>
    <t xml:space="preserve">Pro forma combined credit card receivables materially exceed either standalone book (~$150bn COF domestic card + ~$102bn DFS card ≈ &gt;$250bn), concentrating earnings in a single, cyclical asset class.</t>
  </si>
  <si>
    <t xml:space="preserve">ONGOING — inherent to the deal thesis; monitored via combined net charge-off and delinquency trends each quarter.</t>
  </si>
  <si>
    <t xml:space="preserve">Diversification benefit from DFS's direct-to-consumer deposit franchise and student-loan run-off book; combined scale supports through-the-cycle loss-absorption capacity.</t>
  </si>
  <si>
    <t xml:space="preserve">Subprime / near-prime borrower &amp; macro sensitivity</t>
  </si>
  <si>
    <t xml:space="preserve">Both franchises skew toward revolving card balances sensitive to unemployment, wage growth and consumer-debt-service burden; NCOs at both companies rose sharply in 2023.</t>
  </si>
  <si>
    <t xml:space="preserve">ONGOING — sensitivity increases combined earnings volatility through a credit cycle; addressed via CECL reserving (incl. the $8.8bn day-1 build).</t>
  </si>
  <si>
    <t xml:space="preserve">The day-1 non-PCD CECL allowance build (recognized through provision expense; a separate PCD allowance is established via purchase accounting) materially front-loads reserve coverage on the acquired book, reducing forward loss-recognition volatility relative to an unreserved acquisition.</t>
  </si>
  <si>
    <t xml:space="preserve">Payment network execution / concentration risk</t>
  </si>
  <si>
    <t xml:space="preserve">Strategy depends on migrating COF debit and a portion of credit volume onto the smaller Discover Network (vs. Visa/Mastercard), which carries materially less merchant acceptance scale globally.</t>
  </si>
  <si>
    <t xml:space="preserve">ONGOING — network synergies ($1.2bn by 2027) are the single largest, most execution-dependent line of the synergy case.</t>
  </si>
  <si>
    <t xml:space="preserve">Phased volume migration (targeting ~$175bn of purchase volume onto Discover Network by 2027) rather than a one-time cutover; network already has broad U.S. acceptance.</t>
  </si>
  <si>
    <t xml:space="preserve">Integration &amp; execution risk</t>
  </si>
  <si>
    <t xml:space="preserve">Large-scale technology, operations and cultural integration of two card-centric but organizationally distinct institutions.</t>
  </si>
  <si>
    <t xml:space="preserve">ONGOING — integration costs already guided to modestly exceed the original $2.8bn estimate.</t>
  </si>
  <si>
    <t xml:space="preserve">COF's public issuer/network experience (Capital One is itself a major issuer) and phased 2025-2027 cost-synergy ramp reduce (but do not eliminate) big-bang integration risk.</t>
  </si>
  <si>
    <t xml:space="preserve">Political / reputational risk</t>
  </si>
  <si>
    <t xml:space="preserve">Election-cycle scrutiny of large bank consolidation and consumer-lending concentration; vocal opposition from certain lawmakers and advocacy groups.</t>
  </si>
  <si>
    <t xml:space="preserve">RESOLVED AT APPROVAL — deal closed with full regulatory sign-off notwithstanding public opposition.</t>
  </si>
  <si>
    <t xml:space="preserve">Extensive, proactive community-benefits and compliance commitments reduced political leverage against approval.</t>
  </si>
  <si>
    <t xml:space="preserve">CREDIT CONCENTRATION — KEY METRICS</t>
  </si>
  <si>
    <t xml:space="preserve">COF domestic card receivables, FY2023A ($bn, approx.)</t>
  </si>
  <si>
    <t xml:space="preserve">~$150bn</t>
  </si>
  <si>
    <t xml:space="preserve">Source: COF FY2023 10-K — card receivables exceeded $100bn during 2023 with continued growth</t>
  </si>
  <si>
    <t xml:space="preserve">DFS card receivables, FY2023A ($bn)</t>
  </si>
  <si>
    <t xml:space="preserve">~$102bn (+13% YoY)</t>
  </si>
  <si>
    <t xml:space="preserve">Source: DFS FY2023 earnings release</t>
  </si>
  <si>
    <t xml:space="preserve">Pro forma combined card receivables ($bn, approx.)</t>
  </si>
  <si>
    <t xml:space="preserve">~$250bn+</t>
  </si>
  <si>
    <t xml:space="preserve">Illustrative sum — makes combined entity one of the largest U.S. card issuers by receivables</t>
  </si>
  <si>
    <t xml:space="preserve">DFS FY2023 provision for credit losses ($bn)</t>
  </si>
  <si>
    <t xml:space="preserve">$6.0bn (vs. $2.9bn net income)</t>
  </si>
  <si>
    <t xml:space="preserve">Source: DFS FY2023 results — provision more than doubled YoY</t>
  </si>
  <si>
    <t xml:space="preserve">COF FY2023 provision for credit losses ($bn)</t>
  </si>
  <si>
    <t xml:space="preserve">$10.4bn (+78% YoY)</t>
  </si>
  <si>
    <t xml:space="preserve">Source: COF FY2023 10-K/earnings release</t>
  </si>
  <si>
    <t xml:space="preserve">Combined day-1 CECL allowance build (non-PCD, pre-tax)</t>
  </si>
  <si>
    <t xml:space="preserve">$8.8bn</t>
  </si>
  <si>
    <t xml:space="preserve">Source: COF Q2'25 earnings — actual reported figure at close</t>
  </si>
  <si>
    <t xml:space="preserve">TAKEAWAY</t>
  </si>
  <si>
    <t xml:space="preserve">The Capital One/Discover combination is unusual among large-bank M&amp;A in that it concentrates, rather than diversifies, credit risk, since both franchises are overwhelmingly unsecured consumer/card lenders. Regulators ultimately concluded this was manageable given (i) the deal's all-stock structure, which reduced the capital pressure a cash- or debt-funded deal would have created, (ii) an unusually large day-1 reserve build, and (iii) extensive community-benefit and compliance commitments, but the combined entity now carries meaningfully more single-asset-class (card) concentration risk than either standalone institution, which should be monitored closely through the credit cycle rather than treated as a one-time diligence item.</t>
  </si>
  <si>
    <t xml:space="preserve">Precedent Transactions — Large U.S. Bank M&amp;A Context</t>
  </si>
  <si>
    <t xml:space="preserve">Benchmarking premium, structure and synergy scale; figures per company filings/press releases</t>
  </si>
  <si>
    <t xml:space="preserve">Announced</t>
  </si>
  <si>
    <t xml:space="preserve">Deal Value</t>
  </si>
  <si>
    <t xml:space="preserve">Premium</t>
  </si>
  <si>
    <t xml:space="preserve">Cost Synergies</t>
  </si>
  <si>
    <t xml:space="preserve">Notes</t>
  </si>
  <si>
    <t xml:space="preserve">Feb-2024</t>
  </si>
  <si>
    <t xml:space="preserve">Capital One</t>
  </si>
  <si>
    <t xml:space="preserve">Discover Financial Services</t>
  </si>
  <si>
    <t xml:space="preserve">$35.3bn</t>
  </si>
  <si>
    <t xml:space="preserve">100% stock</t>
  </si>
  <si>
    <t xml:space="preserve">26.6%</t>
  </si>
  <si>
    <t xml:space="preserve">$1.5bn (+$1.2bn network)</t>
  </si>
  <si>
    <t xml:space="preserve">Our subject transaction, the largest U.S. bank deal since the 2008 financial crisis; adds a proprietary payment network to an issuer for the first time since the Amex/Discover era.</t>
  </si>
  <si>
    <t xml:space="preserve">Feb-2019</t>
  </si>
  <si>
    <t xml:space="preserve">BB&amp;T</t>
  </si>
  <si>
    <t xml:space="preserve">SunTrust Banks (→ Truist)</t>
  </si>
  <si>
    <t xml:space="preserve">~$66bn</t>
  </si>
  <si>
    <t xml:space="preserve">100% stock (merger of equals)</t>
  </si>
  <si>
    <t xml:space="preserve">~6.9% to SunTrust's undisturbed price</t>
  </si>
  <si>
    <t xml:space="preserve">$1.6bn pre-tax</t>
  </si>
  <si>
    <t xml:space="preserve">Largest bank M&amp;A of the prior decade prior to COF/DFS; near-zero premium reflects true "merger of equals" structure and governance (co-CEO/board transition), unlike a control premium deal.</t>
  </si>
  <si>
    <t xml:space="preserve">Nov-2020</t>
  </si>
  <si>
    <t xml:space="preserve">PNC Financial Services</t>
  </si>
  <si>
    <t xml:space="preserve">BBVA USA (BBVA's U.S. subsidiary)</t>
  </si>
  <si>
    <t xml:space="preserve">$11.6bn</t>
  </si>
  <si>
    <t xml:space="preserve">100% cash</t>
  </si>
  <si>
    <t xml:space="preserve">N/A — acquisition of a subsidiary, no public minority shareholders</t>
  </si>
  <si>
    <t xml:space="preserve">~$0.9bn guided</t>
  </si>
  <si>
    <t xml:space="preserve">Cash deal for a foreign parent's U.S. banking subsidiary; not a public-company premium transaction, included here as a scale/structure reference point only.</t>
  </si>
  <si>
    <t xml:space="preserve">Mar-2023</t>
  </si>
  <si>
    <t xml:space="preserve">First Citizens BancShares</t>
  </si>
  <si>
    <t xml:space="preserve">Silicon Valley Bank (bridge bank, FDIC-assisted)</t>
  </si>
  <si>
    <t xml:space="preserve">~$16.5bn discount to assets acquired</t>
  </si>
  <si>
    <t xml:space="preserve">FDIC-assisted purchase &amp; assumption</t>
  </si>
  <si>
    <t xml:space="preserve">N/A — distressed/failed-bank acquisition, not a control premium</t>
  </si>
  <si>
    <t xml:space="preserve">N/A</t>
  </si>
  <si>
    <t xml:space="preserve">Not a premium M&amp;A deal — included as a contrasting example of stressed-bank consolidation and to illustrate the very different regulatory pathway for a failed-bank vs. a negotiated control transaction.</t>
  </si>
  <si>
    <t xml:space="preserve">READ-ACROSS TO CAPITAL ONE / DISCOVER</t>
  </si>
  <si>
    <t xml:space="preserve">Premium (26.6%): materially above the near-zero premium in the BB&amp;T/SunTrust "merger of equals," consistent with COF/DFS</t>
  </si>
  <si>
    <t xml:space="preserve">being a genuine control acquisition (COF ~60% pro forma ownership, COF board/management control) rather than an MOE, so a</t>
  </si>
  <si>
    <t xml:space="preserve">meaningfully higher premium is the expected, and disclosed, outcome of that structural difference, not an outlier.</t>
  </si>
  <si>
    <t xml:space="preserve">All-stock structure: shared by BB&amp;T/SunTrust and COF/DFS, and is a key reason both deals avoided the capital drain a cash- or debt-funded deal would have created</t>
  </si>
  <si>
    <t xml:space="preserve">(see Capital Impact tab), a structural advantage over the cash-funded PNC/BBVA USA deal, which drew down acquirer capital.</t>
  </si>
  <si>
    <t xml:space="preserve">Regulatory duration: at ~14 months, the COF/DFS review was materially longer than a typical regional bank deal, reflecting</t>
  </si>
  <si>
    <t xml:space="preserve">its size, the payment-network dimension, and heightened scrutiny of large-bank consolidation in the current environment, and this is</t>
  </si>
  <si>
    <t xml:space="preserve">a risk factor worth flagging explicitly in any comparable future large-bank transaction timeline.</t>
  </si>
</sst>
</file>

<file path=xl/styles.xml><?xml version="1.0" encoding="utf-8"?>
<styleSheet xmlns="http://schemas.openxmlformats.org/spreadsheetml/2006/main">
  <numFmts count="9">
    <numFmt numFmtId="164" formatCode="General"/>
    <numFmt numFmtId="165" formatCode="\$#,##0.00;&quot;($&quot;#,##0.00\);\-"/>
    <numFmt numFmtId="166" formatCode="0.00\x"/>
    <numFmt numFmtId="167" formatCode="0.0%;\(0.0%\);\-"/>
    <numFmt numFmtId="168" formatCode="#,##0.0;\(#,##0.0\);\-"/>
    <numFmt numFmtId="169" formatCode="\$#,##0;&quot;($&quot;#,##0\);\-"/>
    <numFmt numFmtId="170" formatCode="0%;\(0%\);\-"/>
    <numFmt numFmtId="171" formatCode="0"/>
    <numFmt numFmtId="172"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b val="true"/>
      <sz val="11"/>
      <color rgb="FF1F3864"/>
      <name val="Arial"/>
      <family val="0"/>
      <charset val="1"/>
    </font>
    <font>
      <b val="true"/>
      <sz val="10"/>
      <color rgb="FF000000"/>
      <name val="Arial"/>
      <family val="0"/>
      <charset val="1"/>
    </font>
    <font>
      <b val="true"/>
      <sz val="11"/>
      <color rgb="FFFFFFFF"/>
      <name val="Arial"/>
      <family val="0"/>
      <charset val="1"/>
    </font>
    <font>
      <b val="true"/>
      <sz val="10"/>
      <name val="Arial"/>
      <family val="0"/>
      <charset val="1"/>
    </font>
    <font>
      <sz val="10"/>
      <color rgb="FF000000"/>
      <name val="Arial"/>
      <family val="0"/>
      <charset val="1"/>
    </font>
    <font>
      <sz val="10"/>
      <name val="Arial"/>
      <family val="0"/>
      <charset val="1"/>
    </font>
    <font>
      <i val="true"/>
      <sz val="8"/>
      <color rgb="FF808080"/>
      <name val="Arial"/>
      <family val="0"/>
      <charset val="1"/>
    </font>
    <font>
      <sz val="10"/>
      <color rgb="FF0000FF"/>
      <name val="Arial"/>
      <family val="0"/>
      <charset val="1"/>
    </font>
    <font>
      <i val="true"/>
      <sz val="10"/>
      <name val="Arial"/>
      <family val="0"/>
      <charset val="1"/>
    </font>
    <font>
      <sz val="10"/>
      <color rgb="FF008000"/>
      <name val="Arial"/>
      <family val="0"/>
      <charset val="1"/>
    </font>
    <font>
      <i val="true"/>
      <sz val="9"/>
      <color rgb="FF80808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name val="Arial"/>
      <family val="0"/>
      <charset val="1"/>
    </font>
    <font>
      <b val="true"/>
      <sz val="9"/>
      <name val="Arial"/>
      <family val="0"/>
      <charset val="1"/>
    </font>
    <font>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4E8C"/>
        <bgColor rgb="FF1F3864"/>
      </patternFill>
    </fill>
    <fill>
      <patternFill patternType="solid">
        <fgColor rgb="FFF2F2F2"/>
        <bgColor rgb="FFFFFFFF"/>
      </patternFill>
    </fill>
    <fill>
      <patternFill patternType="solid">
        <fgColor rgb="FFFFFF00"/>
        <bgColor rgb="FFFFFF00"/>
      </patternFill>
    </fill>
    <fill>
      <patternFill patternType="solid">
        <fgColor rgb="FFD9E1F2"/>
        <bgColor rgb="FFD9D9D9"/>
      </patternFill>
    </fill>
    <fill>
      <patternFill patternType="solid">
        <fgColor rgb="FFFFF2CC"/>
        <bgColor rgb="FFF2F2F2"/>
      </patternFill>
    </fill>
  </fills>
  <borders count="3">
    <border diagonalUp="false" diagonalDown="false">
      <left/>
      <right/>
      <top/>
      <bottom/>
      <diagonal/>
    </border>
    <border diagonalUp="false" diagonalDown="false">
      <left/>
      <right/>
      <top style="thin"/>
      <bottom style="double"/>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1" shrinkToFit="false"/>
      <protection locked="true" hidden="false"/>
    </xf>
    <xf numFmtId="164" fontId="5" fillId="3" borderId="0" xfId="0" applyFont="true" applyBorder="true" applyAlignment="true" applyProtection="true">
      <alignment horizontal="general" vertical="center" textRotation="0" wrapText="false" indent="1"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center" textRotation="0" wrapText="false" indent="1"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10" fillId="4"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13"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7" fontId="9" fillId="5" borderId="0" xfId="0" applyFont="true" applyBorder="false" applyAlignment="true" applyProtection="true">
      <alignment horizontal="general" vertical="bottom" textRotation="0" wrapText="false" indent="0" shrinkToFit="false"/>
      <protection locked="true" hidden="false"/>
    </xf>
    <xf numFmtId="168" fontId="13" fillId="0"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7" fontId="10"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69"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70" fontId="13" fillId="0" borderId="0" xfId="0" applyFont="true" applyBorder="false" applyAlignment="true" applyProtection="true">
      <alignment horizontal="general" vertical="bottom" textRotation="0" wrapText="false" indent="0" shrinkToFit="false"/>
      <protection locked="true" hidden="false"/>
    </xf>
    <xf numFmtId="171" fontId="7" fillId="6" borderId="0" xfId="0" applyFont="true" applyBorder="false" applyAlignment="true" applyProtection="true">
      <alignment horizontal="center" vertical="bottom" textRotation="0" wrapText="false" indent="0" shrinkToFit="false"/>
      <protection locked="true" hidden="false"/>
    </xf>
    <xf numFmtId="169" fontId="10" fillId="0" borderId="0" xfId="0" applyFont="true" applyBorder="false" applyAlignment="true" applyProtection="true">
      <alignment horizontal="general" vertical="bottom" textRotation="0" wrapText="false" indent="0" shrinkToFit="false"/>
      <protection locked="true" hidden="false"/>
    </xf>
    <xf numFmtId="167" fontId="13" fillId="0" borderId="0" xfId="0" applyFont="true" applyBorder="false" applyAlignment="true" applyProtection="true">
      <alignment horizontal="general" vertical="bottom" textRotation="0" wrapText="false" indent="0" shrinkToFit="false"/>
      <protection locked="true" hidden="false"/>
    </xf>
    <xf numFmtId="169" fontId="13" fillId="5" borderId="0" xfId="0" applyFont="true" applyBorder="false" applyAlignment="true" applyProtection="true">
      <alignment horizontal="general" vertical="bottom" textRotation="0" wrapText="false" indent="0" shrinkToFit="false"/>
      <protection locked="true" hidden="false"/>
    </xf>
    <xf numFmtId="169" fontId="9" fillId="5" borderId="0" xfId="0" applyFont="true" applyBorder="false" applyAlignment="true" applyProtection="true">
      <alignment horizontal="general" vertical="bottom" textRotation="0" wrapText="false" indent="0" shrinkToFit="false"/>
      <protection locked="true" hidden="false"/>
    </xf>
    <xf numFmtId="169" fontId="15" fillId="0" borderId="0" xfId="0" applyFont="tru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true" indent="0" shrinkToFit="false"/>
      <protection locked="true" hidden="false"/>
    </xf>
    <xf numFmtId="164" fontId="7" fillId="6" borderId="0" xfId="0" applyFont="true" applyBorder="false" applyAlignment="true" applyProtection="true">
      <alignment horizontal="center" vertical="bottom" textRotation="0" wrapText="false" indent="0" shrinkToFit="false"/>
      <protection locked="true" hidden="false"/>
    </xf>
    <xf numFmtId="168" fontId="10"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70" fontId="15" fillId="0" borderId="0" xfId="0" applyFont="true" applyBorder="false" applyAlignment="true" applyProtection="true">
      <alignment horizontal="general" vertical="bottom" textRotation="0" wrapText="false" indent="0" shrinkToFit="false"/>
      <protection locked="true" hidden="false"/>
    </xf>
    <xf numFmtId="170" fontId="10" fillId="0" borderId="0" xfId="0" applyFont="true" applyBorder="false" applyAlignment="true" applyProtection="true">
      <alignment horizontal="general" vertical="bottom" textRotation="0" wrapText="false" indent="0" shrinkToFit="false"/>
      <protection locked="true" hidden="false"/>
    </xf>
    <xf numFmtId="169" fontId="9" fillId="7"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7" fontId="7" fillId="6" borderId="0" xfId="0" applyFont="true" applyBorder="false" applyAlignment="true" applyProtection="true">
      <alignment horizontal="center" vertical="bottom" textRotation="0" wrapText="false" indent="0" shrinkToFit="false"/>
      <protection locked="true" hidden="false"/>
    </xf>
    <xf numFmtId="170" fontId="7" fillId="6" borderId="0" xfId="0" applyFont="true" applyBorder="false" applyAlignment="true" applyProtection="true">
      <alignment horizontal="general" vertical="bottom" textRotation="0" wrapText="false" indent="0" shrinkToFit="false"/>
      <protection locked="true" hidden="false"/>
    </xf>
    <xf numFmtId="167" fontId="10" fillId="5" borderId="0" xfId="0" applyFont="true" applyBorder="false" applyAlignment="true" applyProtection="true">
      <alignment horizontal="general" vertical="bottom" textRotation="0" wrapText="false" indent="0" shrinkToFit="false"/>
      <protection locked="true" hidden="false"/>
    </xf>
    <xf numFmtId="166" fontId="7" fillId="6" borderId="0" xfId="0" applyFont="true" applyBorder="false" applyAlignment="true" applyProtection="true">
      <alignment horizontal="center"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7" fontId="9" fillId="7"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center" vertical="center" textRotation="0" wrapText="true" indent="0" shrinkToFit="false"/>
      <protection locked="true" hidden="false"/>
    </xf>
    <xf numFmtId="164" fontId="21" fillId="0" borderId="2" xfId="0" applyFont="true" applyBorder="true" applyAlignment="true" applyProtection="true">
      <alignment horizontal="general" vertical="bottom" textRotation="0" wrapText="false" indent="0" shrinkToFit="false"/>
      <protection locked="true" hidden="false"/>
    </xf>
    <xf numFmtId="164" fontId="22" fillId="0" borderId="2" xfId="0" applyFont="true" applyBorder="true" applyAlignment="true" applyProtection="true">
      <alignment horizontal="general" vertical="top" textRotation="0" wrapText="true" indent="0" shrinkToFit="false"/>
      <protection locked="true" hidden="false"/>
    </xf>
    <xf numFmtId="164" fontId="22" fillId="0" borderId="2" xfId="0" applyFont="true" applyBorder="true" applyAlignment="true" applyProtection="true">
      <alignment horizontal="center" vertical="bottom" textRotation="0" wrapText="false" indent="0" shrinkToFit="false"/>
      <protection locked="true" hidden="false"/>
    </xf>
    <xf numFmtId="172" fontId="21" fillId="0" borderId="2" xfId="0" applyFont="true" applyBorder="true" applyAlignment="true" applyProtection="true">
      <alignment horizontal="center" vertical="bottom" textRotation="0" wrapText="false" indent="0" shrinkToFit="false"/>
      <protection locked="true" hidden="false"/>
    </xf>
    <xf numFmtId="164" fontId="20" fillId="0" borderId="2" xfId="0" applyFont="true" applyBorder="true" applyAlignment="true" applyProtection="true">
      <alignment horizontal="general" vertical="top" textRotation="0" wrapText="tru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general" vertical="top" textRotation="0" wrapText="true" indent="0" shrinkToFit="false"/>
      <protection locked="true" hidden="false"/>
    </xf>
    <xf numFmtId="164" fontId="21" fillId="0" borderId="2"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4F81BD"/>
      <rgbColor rgb="FFBFBFBF"/>
      <rgbColor rgb="FF808080"/>
      <rgbColor rgb="FF8EA5CA"/>
      <rgbColor rgb="FFAA433F"/>
      <rgbColor rgb="FFFFF2CC"/>
      <rgbColor rgb="FFF2F2F2"/>
      <rgbColor rgb="FF660066"/>
      <rgbColor rgb="FFCC8F8E"/>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87A44B"/>
      <rgbColor rgb="FFFF99CC"/>
      <rgbColor rgb="FF8064A2"/>
      <rgbColor rgb="FFFFCC99"/>
      <rgbColor rgb="FF426FA6"/>
      <rgbColor rgb="FF4BACC6"/>
      <rgbColor rgb="FF9BBB59"/>
      <rgbColor rgb="FFBF8F00"/>
      <rgbColor rgb="FFF79646"/>
      <rgbColor rgb="FFDB8238"/>
      <rgbColor rgb="FF6F568D"/>
      <rgbColor rgb="FF878787"/>
      <rgbColor rgb="FF1F3864"/>
      <rgbColor rgb="FF3D97AF"/>
      <rgbColor rgb="FF003300"/>
      <rgbColor rgb="FF333300"/>
      <rgbColor rgb="FFC0504D"/>
      <rgbColor rgb="FF7030A0"/>
      <rgbColor rgb="FF2E4E8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Run-Rate Synergies by Year ($mm, pre-tax)</a:t>
            </a:r>
          </a:p>
        </c:rich>
      </c:tx>
      <c:overlay val="0"/>
      <c:spPr>
        <a:noFill/>
        <a:ln w="0">
          <a:noFill/>
        </a:ln>
      </c:spPr>
    </c:title>
    <c:autoTitleDeleted val="0"/>
    <c:plotArea>
      <c:barChart>
        <c:barDir val="col"/>
        <c:grouping val="stacked"/>
        <c:varyColors val="0"/>
        <c:ser>
          <c:idx val="0"/>
          <c:order val="0"/>
          <c:tx>
            <c:strRef>
              <c:f>"Cost / expense synergies"</c:f>
              <c:strCache>
                <c:ptCount val="1"/>
                <c:pt idx="0">
                  <c:v>Cost / expense synergies</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'Synergy Build'!$C$5:$H$5</c:f>
              <c:multiLvlStrCache>
                <c:ptCount val="1"/>
                <c:lvl>
                  <c:pt idx="0">
                    <c:v>2030</c:v>
                  </c:pt>
                </c:lvl>
                <c:lvl>
                  <c:pt idx="0">
                    <c:v>2029</c:v>
                  </c:pt>
                </c:lvl>
                <c:lvl>
                  <c:pt idx="0">
                    <c:v>2028</c:v>
                  </c:pt>
                </c:lvl>
                <c:lvl>
                  <c:pt idx="0">
                    <c:v>2027</c:v>
                  </c:pt>
                </c:lvl>
                <c:lvl>
                  <c:pt idx="0">
                    <c:v>2026</c:v>
                  </c:pt>
                </c:lvl>
                <c:lvl>
                  <c:pt idx="0">
                    <c:v>2025</c:v>
                  </c:pt>
                </c:lvl>
              </c:multiLvlStrCache>
            </c:multiLvlStrRef>
          </c:cat>
          <c:val>
            <c:numRef>
              <c:f>'Synergy Build'!$C$6:$C$7</c:f>
              <c:numCache>
                <c:formatCode>\$#,##0;"($"#,##0\);\-</c:formatCode>
                <c:ptCount val="2"/>
                <c:pt idx="0">
                  <c:v>500</c:v>
                </c:pt>
                <c:pt idx="1">
                  <c:v>400</c:v>
                </c:pt>
              </c:numCache>
            </c:numRef>
          </c:val>
        </c:ser>
        <c:ser>
          <c:idx val="1"/>
          <c:order val="1"/>
          <c:tx>
            <c:strRef>
              <c:f>"Network / revenue synergies"</c:f>
              <c:strCache>
                <c:ptCount val="1"/>
                <c:pt idx="0">
                  <c:v>Network / revenue synergies</c:v>
                </c:pt>
              </c:strCache>
            </c:strRef>
          </c:tx>
          <c:spPr>
            <a:solidFill>
              <a:srgbClr val="c0504d"/>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'Synergy Build'!$C$5:$H$5</c:f>
              <c:multiLvlStrCache>
                <c:ptCount val="1"/>
                <c:lvl>
                  <c:pt idx="0">
                    <c:v>2030</c:v>
                  </c:pt>
                </c:lvl>
                <c:lvl>
                  <c:pt idx="0">
                    <c:v>2029</c:v>
                  </c:pt>
                </c:lvl>
                <c:lvl>
                  <c:pt idx="0">
                    <c:v>2028</c:v>
                  </c:pt>
                </c:lvl>
                <c:lvl>
                  <c:pt idx="0">
                    <c:v>2027</c:v>
                  </c:pt>
                </c:lvl>
                <c:lvl>
                  <c:pt idx="0">
                    <c:v>2026</c:v>
                  </c:pt>
                </c:lvl>
                <c:lvl>
                  <c:pt idx="0">
                    <c:v>2025</c:v>
                  </c:pt>
                </c:lvl>
              </c:multiLvlStrCache>
            </c:multiLvlStrRef>
          </c:cat>
          <c:val>
            <c:numRef>
              <c:f>'Synergy Build'!$D$6:$D$7</c:f>
              <c:numCache>
                <c:formatCode>\$#,##0;"($"#,##0\);\-</c:formatCode>
                <c:ptCount val="2"/>
                <c:pt idx="0">
                  <c:v>1111.11111111111</c:v>
                </c:pt>
                <c:pt idx="1">
                  <c:v>888.888888888889</c:v>
                </c:pt>
              </c:numCache>
            </c:numRef>
          </c:val>
        </c:ser>
        <c:ser>
          <c:idx val="2"/>
          <c:order val="2"/>
          <c:spPr>
            <a:solidFill>
              <a:srgbClr val="9bbb59"/>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'Synergy Build'!$C$5:$H$5</c:f>
              <c:multiLvlStrCache>
                <c:ptCount val="1"/>
                <c:lvl>
                  <c:pt idx="0">
                    <c:v>2030</c:v>
                  </c:pt>
                </c:lvl>
                <c:lvl>
                  <c:pt idx="0">
                    <c:v>2029</c:v>
                  </c:pt>
                </c:lvl>
                <c:lvl>
                  <c:pt idx="0">
                    <c:v>2028</c:v>
                  </c:pt>
                </c:lvl>
                <c:lvl>
                  <c:pt idx="0">
                    <c:v>2027</c:v>
                  </c:pt>
                </c:lvl>
                <c:lvl>
                  <c:pt idx="0">
                    <c:v>2026</c:v>
                  </c:pt>
                </c:lvl>
                <c:lvl>
                  <c:pt idx="0">
                    <c:v>2025</c:v>
                  </c:pt>
                </c:lvl>
              </c:multiLvlStrCache>
            </c:multiLvlStrRef>
          </c:cat>
          <c:val>
            <c:numRef>
              <c:f>'Synergy Build'!$E$6:$E$7</c:f>
              <c:numCache>
                <c:formatCode>\$#,##0;"($"#,##0\);\-</c:formatCode>
                <c:ptCount val="2"/>
                <c:pt idx="0">
                  <c:v>1500</c:v>
                </c:pt>
                <c:pt idx="1">
                  <c:v>1200</c:v>
                </c:pt>
              </c:numCache>
            </c:numRef>
          </c:val>
        </c:ser>
        <c:ser>
          <c:idx val="3"/>
          <c:order val="3"/>
          <c:spPr>
            <a:solidFill>
              <a:srgbClr val="8064a2"/>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'Synergy Build'!$C$5:$H$5</c:f>
              <c:multiLvlStrCache>
                <c:ptCount val="1"/>
                <c:lvl>
                  <c:pt idx="0">
                    <c:v>2030</c:v>
                  </c:pt>
                </c:lvl>
                <c:lvl>
                  <c:pt idx="0">
                    <c:v>2029</c:v>
                  </c:pt>
                </c:lvl>
                <c:lvl>
                  <c:pt idx="0">
                    <c:v>2028</c:v>
                  </c:pt>
                </c:lvl>
                <c:lvl>
                  <c:pt idx="0">
                    <c:v>2027</c:v>
                  </c:pt>
                </c:lvl>
                <c:lvl>
                  <c:pt idx="0">
                    <c:v>2026</c:v>
                  </c:pt>
                </c:lvl>
                <c:lvl>
                  <c:pt idx="0">
                    <c:v>2025</c:v>
                  </c:pt>
                </c:lvl>
              </c:multiLvlStrCache>
            </c:multiLvlStrRef>
          </c:cat>
          <c:val>
            <c:numRef>
              <c:f>'Synergy Build'!$F$6:$F$7</c:f>
              <c:numCache>
                <c:formatCode>\$#,##0;"($"#,##0\);\-</c:formatCode>
                <c:ptCount val="2"/>
                <c:pt idx="0">
                  <c:v>1611.11111111111</c:v>
                </c:pt>
                <c:pt idx="1">
                  <c:v>1288.88888888889</c:v>
                </c:pt>
              </c:numCache>
            </c:numRef>
          </c:val>
        </c:ser>
        <c:ser>
          <c:idx val="4"/>
          <c:order val="4"/>
          <c:spPr>
            <a:solidFill>
              <a:srgbClr val="4bacc6"/>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'Synergy Build'!$C$5:$H$5</c:f>
              <c:multiLvlStrCache>
                <c:ptCount val="1"/>
                <c:lvl>
                  <c:pt idx="0">
                    <c:v>2030</c:v>
                  </c:pt>
                </c:lvl>
                <c:lvl>
                  <c:pt idx="0">
                    <c:v>2029</c:v>
                  </c:pt>
                </c:lvl>
                <c:lvl>
                  <c:pt idx="0">
                    <c:v>2028</c:v>
                  </c:pt>
                </c:lvl>
                <c:lvl>
                  <c:pt idx="0">
                    <c:v>2027</c:v>
                  </c:pt>
                </c:lvl>
                <c:lvl>
                  <c:pt idx="0">
                    <c:v>2026</c:v>
                  </c:pt>
                </c:lvl>
                <c:lvl>
                  <c:pt idx="0">
                    <c:v>2025</c:v>
                  </c:pt>
                </c:lvl>
              </c:multiLvlStrCache>
            </c:multiLvlStrRef>
          </c:cat>
          <c:val>
            <c:numRef>
              <c:f>'Synergy Build'!$G$6:$G$7</c:f>
              <c:numCache>
                <c:formatCode>\$#,##0;"($"#,##0\);\-</c:formatCode>
                <c:ptCount val="2"/>
                <c:pt idx="0">
                  <c:v>1666.66666666667</c:v>
                </c:pt>
                <c:pt idx="1">
                  <c:v>1333.33333333333</c:v>
                </c:pt>
              </c:numCache>
            </c:numRef>
          </c:val>
        </c:ser>
        <c:ser>
          <c:idx val="5"/>
          <c:order val="5"/>
          <c:spPr>
            <a:solidFill>
              <a:srgbClr val="f79646"/>
            </a:solidFill>
            <a:ln w="0">
              <a:noFill/>
            </a:ln>
          </c:spPr>
          <c:invertIfNegative val="0"/>
          <c:dLbls>
            <c:txPr>
              <a:bodyPr wrap="non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'Synergy Build'!$C$5:$H$5</c:f>
              <c:multiLvlStrCache>
                <c:ptCount val="1"/>
                <c:lvl>
                  <c:pt idx="0">
                    <c:v>2030</c:v>
                  </c:pt>
                </c:lvl>
                <c:lvl>
                  <c:pt idx="0">
                    <c:v>2029</c:v>
                  </c:pt>
                </c:lvl>
                <c:lvl>
                  <c:pt idx="0">
                    <c:v>2028</c:v>
                  </c:pt>
                </c:lvl>
                <c:lvl>
                  <c:pt idx="0">
                    <c:v>2027</c:v>
                  </c:pt>
                </c:lvl>
                <c:lvl>
                  <c:pt idx="0">
                    <c:v>2026</c:v>
                  </c:pt>
                </c:lvl>
                <c:lvl>
                  <c:pt idx="0">
                    <c:v>2025</c:v>
                  </c:pt>
                </c:lvl>
              </c:multiLvlStrCache>
            </c:multiLvlStrRef>
          </c:cat>
          <c:val>
            <c:numRef>
              <c:f>'Synergy Build'!$H$6:$H$7</c:f>
              <c:numCache>
                <c:formatCode>\$#,##0;"($"#,##0\);\-</c:formatCode>
                <c:ptCount val="2"/>
                <c:pt idx="0">
                  <c:v>1777.77777777778</c:v>
                </c:pt>
                <c:pt idx="1">
                  <c:v>1422.22222222222</c:v>
                </c:pt>
              </c:numCache>
            </c:numRef>
          </c:val>
        </c:ser>
        <c:gapWidth val="150"/>
        <c:overlap val="100"/>
        <c:axId val="53451117"/>
        <c:axId val="91544865"/>
      </c:barChart>
      <c:catAx>
        <c:axId val="5345111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544865"/>
        <c:crosses val="autoZero"/>
        <c:auto val="1"/>
        <c:lblAlgn val="ctr"/>
        <c:lblOffset val="100"/>
        <c:noMultiLvlLbl val="0"/>
      </c:catAx>
      <c:valAx>
        <c:axId val="9154486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$mm</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5111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Adjusted vs. GAAP Pro Forma EPS Accretion / (Dilution) vs. COF Standalone</a:t>
            </a:r>
          </a:p>
        </c:rich>
      </c:tx>
      <c:overlay val="0"/>
      <c:spPr>
        <a:noFill/>
        <a:ln w="0">
          <a:noFill/>
        </a:ln>
      </c:spPr>
    </c:title>
    <c:autoTitleDeleted val="0"/>
    <c:plotArea>
      <c:lineChart>
        <c:grouping val="standard"/>
        <c:varyColors val="0"/>
        <c:ser>
          <c:idx val="0"/>
          <c:order val="0"/>
          <c:tx>
            <c:strRef>
              <c:f>"Adjusted (non-GAAP) accretion"</c:f>
              <c:strCache>
                <c:ptCount val="1"/>
                <c:pt idx="0">
                  <c:v>Adjusted (non-GAAP) accretion</c:v>
                </c:pt>
              </c:strCache>
            </c:strRef>
          </c:tx>
          <c:spPr>
            <a:solidFill>
              <a:srgbClr val="426fa6"/>
            </a:solidFill>
            <a:ln w="28440">
              <a:solidFill>
                <a:srgbClr val="426fa6"/>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'Accretion-Dilution'!$C$17</c:f>
              <c:numCache>
                <c:formatCode>0.0%;\(0.0%\);\-</c:formatCode>
                <c:ptCount val="1"/>
                <c:pt idx="0">
                  <c:v>0.0561886460636525</c:v>
                </c:pt>
              </c:numCache>
            </c:numRef>
          </c:val>
          <c:smooth val="1"/>
        </c:ser>
        <c:ser>
          <c:idx val="1"/>
          <c:order val="1"/>
          <c:tx>
            <c:strRef>
              <c:f>"GAAP accretion"</c:f>
              <c:strCache>
                <c:ptCount val="1"/>
                <c:pt idx="0">
                  <c:v>GAAP accretion</c:v>
                </c:pt>
              </c:strCache>
            </c:strRef>
          </c:tx>
          <c:spPr>
            <a:solidFill>
              <a:srgbClr val="aa433f"/>
            </a:solidFill>
            <a:ln w="28440">
              <a:solidFill>
                <a:srgbClr val="aa433f"/>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'Accretion-Dilution'!$D$17</c:f>
              <c:numCache>
                <c:formatCode>0.0%;\(0.0%\);\-</c:formatCode>
                <c:ptCount val="1"/>
                <c:pt idx="0">
                  <c:v>0.140248129347331</c:v>
                </c:pt>
              </c:numCache>
            </c:numRef>
          </c:val>
          <c:smooth val="1"/>
        </c:ser>
        <c:ser>
          <c:idx val="2"/>
          <c:order val="2"/>
          <c:spPr>
            <a:solidFill>
              <a:srgbClr val="87a44b"/>
            </a:solidFill>
            <a:ln w="28440">
              <a:solidFill>
                <a:srgbClr val="87a44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'Accretion-Dilution'!$E$17</c:f>
              <c:numCache>
                <c:formatCode>0.0%;\(0.0%\);\-</c:formatCode>
                <c:ptCount val="1"/>
                <c:pt idx="0">
                  <c:v>0.182672187457858</c:v>
                </c:pt>
              </c:numCache>
            </c:numRef>
          </c:val>
          <c:smooth val="1"/>
        </c:ser>
        <c:ser>
          <c:idx val="3"/>
          <c:order val="3"/>
          <c:spPr>
            <a:solidFill>
              <a:srgbClr val="6f568d"/>
            </a:solidFill>
            <a:ln w="28440">
              <a:solidFill>
                <a:srgbClr val="6f568d"/>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'Accretion-Dilution'!$F$17</c:f>
              <c:numCache>
                <c:formatCode>0.0%;\(0.0%\);\-</c:formatCode>
                <c:ptCount val="1"/>
                <c:pt idx="0">
                  <c:v>0.183451000273638</c:v>
                </c:pt>
              </c:numCache>
            </c:numRef>
          </c:val>
          <c:smooth val="1"/>
        </c:ser>
        <c:ser>
          <c:idx val="4"/>
          <c:order val="4"/>
          <c:spPr>
            <a:solidFill>
              <a:srgbClr val="3d97af"/>
            </a:solidFill>
            <a:ln w="28440">
              <a:solidFill>
                <a:srgbClr val="3d97af"/>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'Accretion-Dilution'!$C$26</c:f>
              <c:numCache>
                <c:formatCode>0.0%;\(0.0%\);\-</c:formatCode>
                <c:ptCount val="1"/>
                <c:pt idx="0">
                  <c:v>-0.841513135638462</c:v>
                </c:pt>
              </c:numCache>
            </c:numRef>
          </c:val>
          <c:smooth val="1"/>
        </c:ser>
        <c:ser>
          <c:idx val="5"/>
          <c:order val="5"/>
          <c:spPr>
            <a:solidFill>
              <a:srgbClr val="db8238"/>
            </a:solidFill>
            <a:ln w="28440">
              <a:solidFill>
                <a:srgbClr val="db823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'Accretion-Dilution'!$D$26</c:f>
              <c:numCache>
                <c:formatCode>0.0%;\(0.0%\);\-</c:formatCode>
                <c:ptCount val="1"/>
                <c:pt idx="0">
                  <c:v>0.0494606449908028</c:v>
                </c:pt>
              </c:numCache>
            </c:numRef>
          </c:val>
          <c:smooth val="1"/>
        </c:ser>
        <c:ser>
          <c:idx val="6"/>
          <c:order val="6"/>
          <c:spPr>
            <a:solidFill>
              <a:srgbClr val="8ea5ca"/>
            </a:solidFill>
            <a:ln w="28440">
              <a:solidFill>
                <a:srgbClr val="8ea5ca"/>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'Accretion-Dilution'!$E$26</c:f>
              <c:numCache>
                <c:formatCode>0.0%;\(0.0%\);\-</c:formatCode>
                <c:ptCount val="1"/>
                <c:pt idx="0">
                  <c:v>0.141763274279849</c:v>
                </c:pt>
              </c:numCache>
            </c:numRef>
          </c:val>
          <c:smooth val="1"/>
        </c:ser>
        <c:ser>
          <c:idx val="7"/>
          <c:order val="7"/>
          <c:spPr>
            <a:solidFill>
              <a:srgbClr val="cc8f8e"/>
            </a:solidFill>
            <a:ln w="28440">
              <a:solidFill>
                <a:srgbClr val="cc8f8e"/>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'Accretion-Dilution'!$C$5:$F$5</c:f>
              <c:multiLvlStrCache>
                <c:ptCount val="1"/>
                <c:lvl>
                  <c:pt idx="0">
                    <c:v>2028E</c:v>
                  </c:pt>
                </c:lvl>
                <c:lvl>
                  <c:pt idx="0">
                    <c:v>2027E</c:v>
                  </c:pt>
                </c:lvl>
                <c:lvl>
                  <c:pt idx="0">
                    <c:v>2026E</c:v>
                  </c:pt>
                </c:lvl>
                <c:lvl>
                  <c:pt idx="0">
                    <c:v>2025E</c:v>
                  </c:pt>
                </c:lvl>
              </c:multiLvlStrCache>
            </c:multiLvlStrRef>
          </c:cat>
          <c:val>
            <c:numRef>
              <c:f>'Accretion-Dilution'!$F$26</c:f>
              <c:numCache>
                <c:formatCode>0.0%;\(0.0%\);\-</c:formatCode>
                <c:ptCount val="1"/>
                <c:pt idx="0">
                  <c:v>0.176370883766541</c:v>
                </c:pt>
              </c:numCache>
            </c:numRef>
          </c:val>
          <c:smooth val="1"/>
        </c:ser>
        <c:hiLowLines>
          <c:spPr>
            <a:ln w="0">
              <a:noFill/>
            </a:ln>
          </c:spPr>
        </c:hiLowLines>
        <c:marker val="0"/>
        <c:axId val="32557482"/>
        <c:axId val="5710684"/>
      </c:lineChart>
      <c:catAx>
        <c:axId val="325574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10684"/>
        <c:crosses val="autoZero"/>
        <c:auto val="1"/>
        <c:lblAlgn val="ctr"/>
        <c:lblOffset val="100"/>
        <c:noMultiLvlLbl val="0"/>
      </c:catAx>
      <c:valAx>
        <c:axId val="57106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Accretion / (Dilution)</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5574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24</xdr:row>
      <xdr:rowOff>0</xdr:rowOff>
    </xdr:from>
    <xdr:to>
      <xdr:col>5</xdr:col>
      <xdr:colOff>770040</xdr:colOff>
      <xdr:row>39</xdr:row>
      <xdr:rowOff>21600</xdr:rowOff>
    </xdr:to>
    <xdr:graphicFrame>
      <xdr:nvGraphicFramePr>
        <xdr:cNvPr id="0" name="Chart 1"/>
        <xdr:cNvGraphicFramePr/>
      </xdr:nvGraphicFramePr>
      <xdr:xfrm>
        <a:off x="141120" y="4886280"/>
        <a:ext cx="647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40</xdr:row>
      <xdr:rowOff>0</xdr:rowOff>
    </xdr:from>
    <xdr:to>
      <xdr:col>4</xdr:col>
      <xdr:colOff>840600</xdr:colOff>
      <xdr:row>55</xdr:row>
      <xdr:rowOff>21600</xdr:rowOff>
    </xdr:to>
    <xdr:graphicFrame>
      <xdr:nvGraphicFramePr>
        <xdr:cNvPr id="1" name="Chart 1"/>
        <xdr:cNvGraphicFramePr/>
      </xdr:nvGraphicFramePr>
      <xdr:xfrm>
        <a:off x="141120" y="8048520"/>
        <a:ext cx="647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6" min="3" style="1" width="22"/>
    <col collapsed="false" customWidth="true" hidden="false" outlineLevel="0" max="9" min="7" style="1" width="4"/>
  </cols>
  <sheetData>
    <row r="1" customFormat="false" ht="25.5" hidden="false" customHeight="true" outlineLevel="0" collapsed="false">
      <c r="B1" s="2" t="s">
        <v>0</v>
      </c>
      <c r="C1" s="2"/>
      <c r="D1" s="2"/>
      <c r="E1" s="2"/>
      <c r="F1" s="2"/>
    </row>
    <row r="2" customFormat="false" ht="25.5" hidden="false" customHeight="true" outlineLevel="0" collapsed="false">
      <c r="B2" s="2"/>
      <c r="C2" s="2"/>
      <c r="D2" s="2"/>
      <c r="E2" s="2"/>
      <c r="F2" s="2"/>
    </row>
    <row r="3" customFormat="false" ht="15.75" hidden="false" customHeight="true" outlineLevel="0" collapsed="false">
      <c r="B3" s="3" t="s">
        <v>1</v>
      </c>
      <c r="C3" s="3"/>
      <c r="D3" s="3"/>
      <c r="E3" s="3"/>
      <c r="F3" s="3"/>
    </row>
    <row r="5" customFormat="false" ht="15" hidden="false" customHeight="false" outlineLevel="0" collapsed="false">
      <c r="B5" s="4" t="s">
        <v>2</v>
      </c>
      <c r="C5" s="4"/>
      <c r="D5" s="4"/>
      <c r="E5" s="4"/>
      <c r="F5" s="4"/>
    </row>
    <row r="7" customFormat="false" ht="15" hidden="false" customHeight="false" outlineLevel="0" collapsed="false">
      <c r="B7" s="5" t="s">
        <v>3</v>
      </c>
      <c r="C7" s="6" t="s">
        <v>4</v>
      </c>
    </row>
    <row r="8" customFormat="false" ht="15" hidden="false" customHeight="false" outlineLevel="0" collapsed="false">
      <c r="B8" s="5" t="s">
        <v>5</v>
      </c>
      <c r="C8" s="6" t="s">
        <v>6</v>
      </c>
    </row>
    <row r="9" customFormat="false" ht="15" hidden="false" customHeight="false" outlineLevel="0" collapsed="false">
      <c r="B9" s="5" t="s">
        <v>7</v>
      </c>
      <c r="C9" s="6" t="s">
        <v>8</v>
      </c>
    </row>
    <row r="10" customFormat="false" ht="15" hidden="false" customHeight="false" outlineLevel="0" collapsed="false">
      <c r="B10" s="5" t="s">
        <v>9</v>
      </c>
      <c r="C10" s="6" t="s">
        <v>10</v>
      </c>
    </row>
    <row r="12" customFormat="false" ht="18" hidden="false" customHeight="true" outlineLevel="0" collapsed="false">
      <c r="B12" s="7" t="s">
        <v>11</v>
      </c>
      <c r="C12" s="7"/>
      <c r="D12" s="7"/>
      <c r="E12" s="7"/>
      <c r="F12" s="7"/>
    </row>
    <row r="13" customFormat="false" ht="15" hidden="false" customHeight="false" outlineLevel="0" collapsed="false">
      <c r="B13" s="8" t="s">
        <v>12</v>
      </c>
      <c r="C13" s="9" t="s">
        <v>13</v>
      </c>
      <c r="D13" s="9"/>
      <c r="E13" s="9"/>
      <c r="F13" s="9"/>
    </row>
    <row r="14" customFormat="false" ht="15" hidden="false" customHeight="false" outlineLevel="0" collapsed="false">
      <c r="B14" s="10" t="s">
        <v>14</v>
      </c>
      <c r="C14" s="11" t="s">
        <v>15</v>
      </c>
      <c r="D14" s="11"/>
      <c r="E14" s="11"/>
      <c r="F14" s="11"/>
    </row>
    <row r="15" customFormat="false" ht="15" hidden="false" customHeight="false" outlineLevel="0" collapsed="false">
      <c r="B15" s="8" t="s">
        <v>16</v>
      </c>
      <c r="C15" s="9" t="s">
        <v>17</v>
      </c>
      <c r="D15" s="9"/>
      <c r="E15" s="9"/>
      <c r="F15" s="9"/>
    </row>
    <row r="16" customFormat="false" ht="15" hidden="false" customHeight="false" outlineLevel="0" collapsed="false">
      <c r="B16" s="10" t="s">
        <v>18</v>
      </c>
      <c r="C16" s="11" t="s">
        <v>19</v>
      </c>
      <c r="D16" s="11"/>
      <c r="E16" s="11"/>
      <c r="F16" s="11"/>
    </row>
    <row r="17" customFormat="false" ht="15" hidden="false" customHeight="false" outlineLevel="0" collapsed="false">
      <c r="B17" s="8" t="s">
        <v>20</v>
      </c>
      <c r="C17" s="9" t="s">
        <v>21</v>
      </c>
      <c r="D17" s="9"/>
      <c r="E17" s="9"/>
      <c r="F17" s="9"/>
    </row>
    <row r="18" customFormat="false" ht="15" hidden="false" customHeight="false" outlineLevel="0" collapsed="false">
      <c r="B18" s="10" t="s">
        <v>22</v>
      </c>
      <c r="C18" s="11" t="s">
        <v>23</v>
      </c>
      <c r="D18" s="11"/>
      <c r="E18" s="11"/>
      <c r="F18" s="11"/>
    </row>
    <row r="19" customFormat="false" ht="15" hidden="false" customHeight="false" outlineLevel="0" collapsed="false">
      <c r="B19" s="8" t="s">
        <v>24</v>
      </c>
      <c r="C19" s="9" t="s">
        <v>25</v>
      </c>
      <c r="D19" s="9"/>
      <c r="E19" s="9"/>
      <c r="F19" s="9"/>
    </row>
    <row r="20" customFormat="false" ht="15" hidden="false" customHeight="false" outlineLevel="0" collapsed="false">
      <c r="B20" s="10" t="s">
        <v>26</v>
      </c>
      <c r="C20" s="11" t="s">
        <v>27</v>
      </c>
      <c r="D20" s="11"/>
      <c r="E20" s="11"/>
      <c r="F20" s="11"/>
    </row>
    <row r="21" customFormat="false" ht="15" hidden="false" customHeight="false" outlineLevel="0" collapsed="false">
      <c r="B21" s="8" t="s">
        <v>28</v>
      </c>
      <c r="C21" s="9" t="s">
        <v>29</v>
      </c>
      <c r="D21" s="9"/>
      <c r="E21" s="9"/>
      <c r="F21" s="9"/>
    </row>
    <row r="22" customFormat="false" ht="15" hidden="false" customHeight="false" outlineLevel="0" collapsed="false">
      <c r="B22" s="10" t="s">
        <v>30</v>
      </c>
      <c r="C22" s="11" t="s">
        <v>31</v>
      </c>
      <c r="D22" s="11"/>
      <c r="E22" s="11"/>
      <c r="F22" s="11"/>
    </row>
    <row r="23" customFormat="false" ht="15" hidden="false" customHeight="false" outlineLevel="0" collapsed="false">
      <c r="B23" s="8" t="s">
        <v>32</v>
      </c>
      <c r="C23" s="9" t="s">
        <v>33</v>
      </c>
      <c r="D23" s="9"/>
      <c r="E23" s="9"/>
      <c r="F23" s="9"/>
    </row>
    <row r="24" customFormat="false" ht="15" hidden="false" customHeight="false" outlineLevel="0" collapsed="false">
      <c r="B24" s="10" t="s">
        <v>34</v>
      </c>
      <c r="C24" s="11" t="s">
        <v>35</v>
      </c>
      <c r="D24" s="11"/>
      <c r="E24" s="11"/>
      <c r="F24" s="11"/>
    </row>
    <row r="26" customFormat="false" ht="18" hidden="false" customHeight="true" outlineLevel="0" collapsed="false">
      <c r="B26" s="7" t="s">
        <v>36</v>
      </c>
      <c r="C26" s="7"/>
      <c r="D26" s="7"/>
      <c r="E26" s="7"/>
      <c r="F26" s="7"/>
    </row>
    <row r="27" customFormat="false" ht="15" hidden="false" customHeight="false" outlineLevel="0" collapsed="false">
      <c r="B27" s="12" t="s">
        <v>37</v>
      </c>
      <c r="C27" s="12"/>
      <c r="D27" s="12"/>
      <c r="E27" s="12"/>
      <c r="F27" s="12"/>
    </row>
    <row r="28" customFormat="false" ht="15" hidden="false" customHeight="false" outlineLevel="0" collapsed="false">
      <c r="B28" s="12" t="s">
        <v>38</v>
      </c>
      <c r="C28" s="12"/>
      <c r="D28" s="12"/>
      <c r="E28" s="12"/>
      <c r="F28" s="12"/>
    </row>
    <row r="29" customFormat="false" ht="15" hidden="false" customHeight="false" outlineLevel="0" collapsed="false">
      <c r="B29" s="12" t="s">
        <v>39</v>
      </c>
      <c r="C29" s="12"/>
      <c r="D29" s="12"/>
      <c r="E29" s="12"/>
      <c r="F29" s="12"/>
    </row>
    <row r="30" customFormat="false" ht="15" hidden="false" customHeight="false" outlineLevel="0" collapsed="false">
      <c r="B30" s="12" t="s">
        <v>40</v>
      </c>
      <c r="C30" s="12"/>
      <c r="D30" s="12"/>
      <c r="E30" s="12"/>
      <c r="F30" s="12"/>
    </row>
    <row r="31" customFormat="false" ht="15" hidden="false" customHeight="false" outlineLevel="0" collapsed="false">
      <c r="B31" s="12" t="s">
        <v>41</v>
      </c>
      <c r="C31" s="12"/>
      <c r="D31" s="12"/>
      <c r="E31" s="12"/>
      <c r="F31" s="12"/>
    </row>
    <row r="32" customFormat="false" ht="15" hidden="false" customHeight="false" outlineLevel="0" collapsed="false">
      <c r="B32" s="12" t="s">
        <v>42</v>
      </c>
      <c r="C32" s="12"/>
      <c r="D32" s="12"/>
      <c r="E32" s="12"/>
      <c r="F32" s="12"/>
    </row>
    <row r="33" customFormat="false" ht="15" hidden="false" customHeight="false" outlineLevel="0" collapsed="false">
      <c r="B33" s="12" t="s">
        <v>43</v>
      </c>
      <c r="C33" s="12"/>
      <c r="D33" s="12"/>
      <c r="E33" s="12"/>
      <c r="F33" s="12"/>
    </row>
    <row r="34" customFormat="false" ht="15" hidden="false" customHeight="false" outlineLevel="0" collapsed="false">
      <c r="B34" s="12" t="s">
        <v>44</v>
      </c>
      <c r="C34" s="12"/>
      <c r="D34" s="12"/>
      <c r="E34" s="12"/>
      <c r="F34" s="12"/>
    </row>
    <row r="35" customFormat="false" ht="15" hidden="false" customHeight="false" outlineLevel="0" collapsed="false">
      <c r="B35" s="12" t="s">
        <v>45</v>
      </c>
      <c r="C35" s="12"/>
      <c r="D35" s="12"/>
      <c r="E35" s="12"/>
      <c r="F35" s="12"/>
    </row>
    <row r="37" customFormat="false" ht="15" hidden="false" customHeight="true" outlineLevel="0" collapsed="false">
      <c r="B37" s="13" t="s">
        <v>46</v>
      </c>
      <c r="C37" s="13"/>
      <c r="D37" s="13"/>
      <c r="E37" s="13"/>
      <c r="F37" s="13"/>
    </row>
    <row r="38" customFormat="false" ht="15" hidden="false" customHeight="false" outlineLevel="0" collapsed="false">
      <c r="B38" s="13"/>
      <c r="C38" s="13"/>
      <c r="D38" s="13"/>
      <c r="E38" s="13"/>
      <c r="F38" s="13"/>
    </row>
    <row r="39" customFormat="false" ht="15" hidden="false" customHeight="false" outlineLevel="0" collapsed="false">
      <c r="B39" s="13"/>
      <c r="C39" s="13"/>
      <c r="D39" s="13"/>
      <c r="E39" s="13"/>
      <c r="F39" s="13"/>
    </row>
    <row r="40" customFormat="false" ht="15" hidden="false" customHeight="false" outlineLevel="0" collapsed="false">
      <c r="B40" s="13"/>
      <c r="C40" s="13"/>
      <c r="D40" s="13"/>
      <c r="E40" s="13"/>
      <c r="F40" s="13"/>
    </row>
  </sheetData>
  <mergeCells count="27">
    <mergeCell ref="B1:F2"/>
    <mergeCell ref="B3:F3"/>
    <mergeCell ref="B5:F5"/>
    <mergeCell ref="B12:F12"/>
    <mergeCell ref="C13:F13"/>
    <mergeCell ref="C14:F14"/>
    <mergeCell ref="C15:F15"/>
    <mergeCell ref="C16:F16"/>
    <mergeCell ref="C17:F17"/>
    <mergeCell ref="C18:F18"/>
    <mergeCell ref="C19:F19"/>
    <mergeCell ref="C20:F20"/>
    <mergeCell ref="C21:F21"/>
    <mergeCell ref="C22:F22"/>
    <mergeCell ref="C23:F23"/>
    <mergeCell ref="C24:F24"/>
    <mergeCell ref="B26:F26"/>
    <mergeCell ref="B27:F27"/>
    <mergeCell ref="B28:F28"/>
    <mergeCell ref="B29:F29"/>
    <mergeCell ref="B30:F30"/>
    <mergeCell ref="B31:F31"/>
    <mergeCell ref="B32:F32"/>
    <mergeCell ref="B33:F33"/>
    <mergeCell ref="B34:F34"/>
    <mergeCell ref="B35:F35"/>
    <mergeCell ref="B37: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4E8C"/>
    <pageSetUpPr fitToPage="false"/>
  </sheetPr>
  <dimension ref="B1:I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9" min="3" style="1" width="14"/>
    <col collapsed="false" customWidth="true" hidden="false" outlineLevel="0" max="10" min="10" style="1" width="4"/>
  </cols>
  <sheetData>
    <row r="1" customFormat="false" ht="25.5" hidden="false" customHeight="true" outlineLevel="0" collapsed="false">
      <c r="B1" s="2" t="s">
        <v>47</v>
      </c>
      <c r="C1" s="2"/>
      <c r="D1" s="2"/>
      <c r="E1" s="2"/>
      <c r="F1" s="2"/>
      <c r="G1" s="2"/>
      <c r="H1" s="2"/>
      <c r="I1" s="2"/>
    </row>
    <row r="2" customFormat="false" ht="25.5" hidden="false" customHeight="true" outlineLevel="0" collapsed="false">
      <c r="B2" s="2"/>
      <c r="C2" s="2"/>
      <c r="D2" s="2"/>
      <c r="E2" s="2"/>
      <c r="F2" s="2"/>
      <c r="G2" s="2"/>
      <c r="H2" s="2"/>
      <c r="I2" s="2"/>
    </row>
    <row r="3" customFormat="false" ht="15.75" hidden="false" customHeight="true" outlineLevel="0" collapsed="false">
      <c r="B3" s="3" t="s">
        <v>48</v>
      </c>
      <c r="C3" s="3"/>
      <c r="D3" s="3"/>
      <c r="E3" s="3"/>
      <c r="F3" s="3"/>
      <c r="G3" s="3"/>
      <c r="H3" s="3"/>
      <c r="I3" s="3"/>
    </row>
    <row r="5" customFormat="false" ht="18" hidden="false" customHeight="true" outlineLevel="0" collapsed="false">
      <c r="B5" s="7" t="s">
        <v>49</v>
      </c>
      <c r="C5" s="7"/>
      <c r="D5" s="7"/>
      <c r="E5" s="7"/>
      <c r="F5" s="7"/>
      <c r="G5" s="7"/>
      <c r="H5" s="7"/>
      <c r="I5" s="7"/>
    </row>
    <row r="6" customFormat="false" ht="15" hidden="false" customHeight="false" outlineLevel="0" collapsed="false">
      <c r="B6" s="14" t="s">
        <v>50</v>
      </c>
      <c r="C6" s="15" t="n">
        <v>110.49</v>
      </c>
      <c r="E6" s="16" t="s">
        <v>51</v>
      </c>
    </row>
    <row r="7" customFormat="false" ht="15" hidden="false" customHeight="false" outlineLevel="0" collapsed="false">
      <c r="B7" s="14" t="s">
        <v>52</v>
      </c>
      <c r="C7" s="15" t="n">
        <v>137.24</v>
      </c>
      <c r="E7" s="16" t="s">
        <v>53</v>
      </c>
    </row>
    <row r="8" customFormat="false" ht="15" hidden="false" customHeight="false" outlineLevel="0" collapsed="false">
      <c r="B8" s="14" t="s">
        <v>54</v>
      </c>
      <c r="C8" s="17" t="n">
        <v>1.0192</v>
      </c>
      <c r="E8" s="16" t="s">
        <v>55</v>
      </c>
    </row>
    <row r="9" customFormat="false" ht="15" hidden="false" customHeight="false" outlineLevel="0" collapsed="false">
      <c r="B9" s="8" t="s">
        <v>56</v>
      </c>
      <c r="C9" s="18" t="n">
        <f aca="false">C7*C8</f>
        <v>139.875008</v>
      </c>
    </row>
    <row r="10" customFormat="false" ht="15" hidden="false" customHeight="false" outlineLevel="0" collapsed="false">
      <c r="B10" s="8" t="s">
        <v>57</v>
      </c>
      <c r="C10" s="19" t="n">
        <f aca="false">C9/C6-1</f>
        <v>0.265951742239117</v>
      </c>
      <c r="E10" s="16" t="s">
        <v>58</v>
      </c>
    </row>
    <row r="12" customFormat="false" ht="18" hidden="false" customHeight="true" outlineLevel="0" collapsed="false">
      <c r="B12" s="7" t="s">
        <v>59</v>
      </c>
      <c r="C12" s="7"/>
      <c r="D12" s="7"/>
      <c r="E12" s="7"/>
      <c r="F12" s="7"/>
      <c r="G12" s="7"/>
      <c r="H12" s="7"/>
      <c r="I12" s="7"/>
    </row>
    <row r="13" customFormat="false" ht="15" hidden="false" customHeight="false" outlineLevel="0" collapsed="false">
      <c r="B13" s="14" t="s">
        <v>60</v>
      </c>
      <c r="C13" s="20" t="n">
        <v>257</v>
      </c>
      <c r="E13" s="16" t="s">
        <v>61</v>
      </c>
    </row>
    <row r="14" customFormat="false" ht="15" hidden="false" customHeight="false" outlineLevel="0" collapsed="false">
      <c r="B14" s="14" t="s">
        <v>62</v>
      </c>
      <c r="C14" s="20" t="n">
        <v>383.4</v>
      </c>
      <c r="E14" s="16" t="s">
        <v>63</v>
      </c>
    </row>
    <row r="15" customFormat="false" ht="15" hidden="false" customHeight="false" outlineLevel="0" collapsed="false">
      <c r="B15" s="8" t="s">
        <v>64</v>
      </c>
      <c r="C15" s="21" t="n">
        <f aca="false">C13+C14</f>
        <v>640.4</v>
      </c>
    </row>
    <row r="16" customFormat="false" ht="15" hidden="false" customHeight="false" outlineLevel="0" collapsed="false">
      <c r="B16" s="14" t="s">
        <v>65</v>
      </c>
      <c r="C16" s="22" t="n">
        <f aca="false">C14/C15</f>
        <v>0.598688319800125</v>
      </c>
    </row>
    <row r="17" customFormat="false" ht="15" hidden="false" customHeight="false" outlineLevel="0" collapsed="false">
      <c r="B17" s="14" t="s">
        <v>66</v>
      </c>
      <c r="C17" s="22" t="n">
        <f aca="false">C13/C15</f>
        <v>0.401311680199875</v>
      </c>
      <c r="E17" s="16" t="s">
        <v>67</v>
      </c>
    </row>
    <row r="18" customFormat="false" ht="15" hidden="false" customHeight="false" outlineLevel="0" collapsed="false">
      <c r="B18" s="8" t="s">
        <v>68</v>
      </c>
      <c r="C18" s="23" t="n">
        <f aca="false">C13*C7</f>
        <v>35270.68</v>
      </c>
      <c r="E18" s="16" t="s">
        <v>69</v>
      </c>
    </row>
    <row r="19" customFormat="false" ht="15" hidden="false" customHeight="false" outlineLevel="0" collapsed="false">
      <c r="B19" s="14" t="s">
        <v>70</v>
      </c>
      <c r="C19" s="24" t="n">
        <v>35300</v>
      </c>
      <c r="E19" s="16" t="s">
        <v>71</v>
      </c>
    </row>
    <row r="20" customFormat="false" ht="15" hidden="false" customHeight="false" outlineLevel="0" collapsed="false">
      <c r="B20" s="25" t="s">
        <v>72</v>
      </c>
      <c r="E20" s="16" t="s">
        <v>73</v>
      </c>
    </row>
    <row r="21" customFormat="false" ht="18" hidden="false" customHeight="true" outlineLevel="0" collapsed="false">
      <c r="B21" s="7" t="s">
        <v>74</v>
      </c>
      <c r="C21" s="7"/>
      <c r="D21" s="7"/>
      <c r="E21" s="7"/>
      <c r="F21" s="7"/>
      <c r="G21" s="7"/>
      <c r="H21" s="7"/>
      <c r="I21" s="7"/>
    </row>
    <row r="22" customFormat="false" ht="15" hidden="false" customHeight="false" outlineLevel="0" collapsed="false">
      <c r="B22" s="14" t="s">
        <v>75</v>
      </c>
      <c r="C22" s="26" t="n">
        <v>0.24</v>
      </c>
      <c r="E22" s="16" t="s">
        <v>76</v>
      </c>
    </row>
    <row r="23" customFormat="false" ht="15" hidden="false" customHeight="false" outlineLevel="0" collapsed="false">
      <c r="B23" s="14" t="s">
        <v>77</v>
      </c>
      <c r="C23" s="26" t="n">
        <v>0.11</v>
      </c>
      <c r="E23" s="16" t="s">
        <v>78</v>
      </c>
    </row>
    <row r="24" customFormat="false" ht="15" hidden="false" customHeight="false" outlineLevel="0" collapsed="false">
      <c r="B24" s="14" t="s">
        <v>79</v>
      </c>
      <c r="C24" s="26" t="n">
        <v>0.07</v>
      </c>
      <c r="E24" s="16" t="s">
        <v>80</v>
      </c>
    </row>
    <row r="25" customFormat="false" ht="15" hidden="false" customHeight="false" outlineLevel="0" collapsed="false">
      <c r="E25" s="16" t="s">
        <v>81</v>
      </c>
    </row>
    <row r="26" customFormat="false" ht="18" hidden="false" customHeight="true" outlineLevel="0" collapsed="false">
      <c r="B26" s="7" t="s">
        <v>82</v>
      </c>
      <c r="C26" s="7"/>
      <c r="D26" s="7"/>
      <c r="E26" s="7"/>
      <c r="F26" s="7"/>
      <c r="G26" s="7"/>
      <c r="H26" s="7"/>
      <c r="I26" s="7"/>
    </row>
    <row r="27" customFormat="false" ht="15" hidden="false" customHeight="false" outlineLevel="0" collapsed="false">
      <c r="C27" s="27" t="n">
        <v>2025</v>
      </c>
      <c r="D27" s="27" t="n">
        <v>2026</v>
      </c>
      <c r="E27" s="27" t="n">
        <v>2027</v>
      </c>
      <c r="F27" s="27" t="n">
        <v>2028</v>
      </c>
      <c r="G27" s="27" t="n">
        <v>2029</v>
      </c>
      <c r="H27" s="27" t="n">
        <v>2030</v>
      </c>
    </row>
    <row r="28" customFormat="false" ht="15" hidden="false" customHeight="false" outlineLevel="0" collapsed="false">
      <c r="B28" s="14" t="s">
        <v>83</v>
      </c>
      <c r="C28" s="24" t="n">
        <v>900</v>
      </c>
      <c r="D28" s="24" t="n">
        <v>2000</v>
      </c>
      <c r="E28" s="24" t="n">
        <v>2700</v>
      </c>
      <c r="F28" s="24" t="n">
        <v>2900</v>
      </c>
      <c r="G28" s="24" t="n">
        <v>3000</v>
      </c>
      <c r="H28" s="24" t="n">
        <v>3200</v>
      </c>
      <c r="I28" s="16" t="s">
        <v>84</v>
      </c>
    </row>
    <row r="29" customFormat="false" ht="15" hidden="false" customHeight="false" outlineLevel="0" collapsed="false">
      <c r="B29" s="14" t="s">
        <v>85</v>
      </c>
      <c r="C29" s="24" t="n">
        <v>1500</v>
      </c>
      <c r="E29" s="16" t="s">
        <v>86</v>
      </c>
    </row>
    <row r="30" customFormat="false" ht="15" hidden="false" customHeight="false" outlineLevel="0" collapsed="false">
      <c r="B30" s="14" t="s">
        <v>87</v>
      </c>
      <c r="C30" s="24" t="n">
        <v>1200</v>
      </c>
      <c r="E30" s="16" t="s">
        <v>88</v>
      </c>
    </row>
    <row r="31" customFormat="false" ht="15" hidden="false" customHeight="false" outlineLevel="0" collapsed="false">
      <c r="B31" s="14" t="s">
        <v>89</v>
      </c>
      <c r="C31" s="28" t="n">
        <f aca="false">C29+C30-E28</f>
        <v>0</v>
      </c>
      <c r="E31" s="16" t="s">
        <v>90</v>
      </c>
    </row>
    <row r="33" customFormat="false" ht="15" hidden="false" customHeight="false" outlineLevel="0" collapsed="false">
      <c r="B33" s="25" t="s">
        <v>91</v>
      </c>
      <c r="C33" s="28" t="n">
        <f aca="false">C28*$C$29/$E$28</f>
        <v>500</v>
      </c>
      <c r="D33" s="28" t="n">
        <f aca="false">D28*$C$29/$E$28</f>
        <v>1111.11111111111</v>
      </c>
      <c r="E33" s="28" t="n">
        <f aca="false">E28*$C$29/$E$28</f>
        <v>1500</v>
      </c>
      <c r="F33" s="28" t="n">
        <f aca="false">F28*$C$29/$E$28</f>
        <v>1611.11111111111</v>
      </c>
      <c r="G33" s="28" t="n">
        <f aca="false">G28*$C$29/$E$28</f>
        <v>1666.66666666667</v>
      </c>
      <c r="H33" s="28" t="n">
        <f aca="false">H28*$C$29/$E$28</f>
        <v>1777.77777777778</v>
      </c>
    </row>
    <row r="34" customFormat="false" ht="15" hidden="false" customHeight="false" outlineLevel="0" collapsed="false">
      <c r="B34" s="25" t="s">
        <v>92</v>
      </c>
      <c r="C34" s="28" t="n">
        <f aca="false">C28*$C$30/$E$28</f>
        <v>400</v>
      </c>
      <c r="D34" s="28" t="n">
        <f aca="false">D28*$C$30/$E$28</f>
        <v>888.888888888889</v>
      </c>
      <c r="E34" s="28" t="n">
        <f aca="false">E28*$C$30/$E$28</f>
        <v>1200</v>
      </c>
      <c r="F34" s="28" t="n">
        <f aca="false">F28*$C$30/$E$28</f>
        <v>1288.88888888889</v>
      </c>
      <c r="G34" s="28" t="n">
        <f aca="false">G28*$C$30/$E$28</f>
        <v>1333.33333333333</v>
      </c>
      <c r="H34" s="28" t="n">
        <f aca="false">H28*$C$30/$E$28</f>
        <v>1422.22222222222</v>
      </c>
    </row>
    <row r="36" customFormat="false" ht="18" hidden="false" customHeight="true" outlineLevel="0" collapsed="false">
      <c r="B36" s="7" t="s">
        <v>93</v>
      </c>
      <c r="C36" s="7"/>
      <c r="D36" s="7"/>
      <c r="E36" s="7"/>
      <c r="F36" s="7"/>
      <c r="G36" s="7"/>
      <c r="H36" s="7"/>
      <c r="I36" s="7"/>
    </row>
    <row r="37" customFormat="false" ht="15" hidden="false" customHeight="false" outlineLevel="0" collapsed="false">
      <c r="B37" s="14" t="s">
        <v>94</v>
      </c>
      <c r="C37" s="24" t="n">
        <v>2800</v>
      </c>
      <c r="E37" s="16" t="s">
        <v>95</v>
      </c>
    </row>
    <row r="38" customFormat="false" ht="15" hidden="false" customHeight="false" outlineLevel="0" collapsed="false">
      <c r="B38" s="14" t="s">
        <v>96</v>
      </c>
      <c r="C38" s="26" t="n">
        <v>0.5</v>
      </c>
      <c r="D38" s="26" t="n">
        <v>0.35</v>
      </c>
      <c r="E38" s="26" t="n">
        <v>0.15</v>
      </c>
      <c r="F38" s="16" t="s">
        <v>97</v>
      </c>
    </row>
    <row r="39" customFormat="false" ht="15" hidden="false" customHeight="false" outlineLevel="0" collapsed="false">
      <c r="B39" s="25" t="s">
        <v>98</v>
      </c>
      <c r="C39" s="28" t="n">
        <f aca="false">$C$37*C38</f>
        <v>1400</v>
      </c>
      <c r="D39" s="28" t="n">
        <f aca="false">$C$37*D38</f>
        <v>980</v>
      </c>
      <c r="E39" s="28" t="n">
        <f aca="false">$C$37*E38</f>
        <v>420</v>
      </c>
      <c r="F39" s="28" t="n">
        <v>0</v>
      </c>
      <c r="G39" s="28" t="n">
        <v>0</v>
      </c>
      <c r="H39" s="28" t="n">
        <v>0</v>
      </c>
    </row>
    <row r="41" customFormat="false" ht="15" hidden="false" customHeight="false" outlineLevel="0" collapsed="false">
      <c r="B41" s="14" t="s">
        <v>99</v>
      </c>
      <c r="C41" s="24" t="n">
        <v>8800</v>
      </c>
      <c r="E41" s="16" t="s">
        <v>100</v>
      </c>
    </row>
    <row r="42" customFormat="false" ht="15" hidden="false" customHeight="false" outlineLevel="0" collapsed="false">
      <c r="B42" s="25" t="s">
        <v>101</v>
      </c>
    </row>
    <row r="43" customFormat="false" ht="15" hidden="false" customHeight="false" outlineLevel="0" collapsed="false">
      <c r="B43" s="14" t="s">
        <v>102</v>
      </c>
      <c r="C43" s="24" t="n">
        <v>150</v>
      </c>
      <c r="D43" s="24" t="n">
        <v>140</v>
      </c>
      <c r="E43" s="24" t="n">
        <v>120</v>
      </c>
      <c r="F43" s="24" t="n">
        <v>100</v>
      </c>
      <c r="H43" s="16" t="s">
        <v>103</v>
      </c>
    </row>
    <row r="45" customFormat="false" ht="18" hidden="false" customHeight="true" outlineLevel="0" collapsed="false">
      <c r="B45" s="7" t="s">
        <v>104</v>
      </c>
      <c r="C45" s="7"/>
      <c r="D45" s="7"/>
      <c r="E45" s="7"/>
      <c r="F45" s="7"/>
      <c r="G45" s="7"/>
      <c r="H45" s="7"/>
      <c r="I45" s="7"/>
    </row>
    <row r="46" customFormat="false" ht="15" hidden="false" customHeight="false" outlineLevel="0" collapsed="false">
      <c r="B46" s="14" t="s">
        <v>105</v>
      </c>
      <c r="C46" s="24" t="n">
        <v>370000</v>
      </c>
      <c r="E46" s="16" t="s">
        <v>106</v>
      </c>
    </row>
    <row r="47" customFormat="false" ht="15" hidden="false" customHeight="false" outlineLevel="0" collapsed="false">
      <c r="B47" s="14" t="s">
        <v>107</v>
      </c>
      <c r="C47" s="29" t="n">
        <v>0.129</v>
      </c>
      <c r="E47" s="16" t="s">
        <v>108</v>
      </c>
    </row>
    <row r="48" customFormat="false" ht="15" hidden="false" customHeight="false" outlineLevel="0" collapsed="false">
      <c r="B48" s="8" t="s">
        <v>109</v>
      </c>
      <c r="C48" s="23" t="n">
        <f aca="false">C46*C47</f>
        <v>47730</v>
      </c>
    </row>
    <row r="49" customFormat="false" ht="15" hidden="false" customHeight="false" outlineLevel="0" collapsed="false">
      <c r="B49" s="14" t="s">
        <v>110</v>
      </c>
      <c r="C49" s="24" t="n">
        <v>115000</v>
      </c>
      <c r="E49" s="16" t="s">
        <v>111</v>
      </c>
    </row>
    <row r="50" customFormat="false" ht="15" hidden="false" customHeight="false" outlineLevel="0" collapsed="false">
      <c r="B50" s="14" t="s">
        <v>112</v>
      </c>
      <c r="C50" s="15" t="n">
        <v>50.88</v>
      </c>
      <c r="E50" s="16" t="s">
        <v>113</v>
      </c>
    </row>
    <row r="51" customFormat="false" ht="15" hidden="false" customHeight="false" outlineLevel="0" collapsed="false">
      <c r="B51" s="8" t="s">
        <v>114</v>
      </c>
      <c r="C51" s="23" t="n">
        <f aca="false">C50*C13</f>
        <v>13076.16</v>
      </c>
    </row>
    <row r="52" customFormat="false" ht="15" hidden="false" customHeight="false" outlineLevel="0" collapsed="false">
      <c r="B52" s="8" t="s">
        <v>115</v>
      </c>
      <c r="C52" s="30" t="n">
        <v>7400</v>
      </c>
      <c r="E52" s="16" t="s">
        <v>116</v>
      </c>
    </row>
    <row r="53" customFormat="false" ht="15" hidden="false" customHeight="false" outlineLevel="0" collapsed="false">
      <c r="E53" s="16" t="s">
        <v>117</v>
      </c>
    </row>
    <row r="54" customFormat="false" ht="15" hidden="false" customHeight="false" outlineLevel="0" collapsed="false">
      <c r="E54" s="16" t="s">
        <v>118</v>
      </c>
    </row>
    <row r="55" customFormat="false" ht="15" hidden="false" customHeight="false" outlineLevel="0" collapsed="false">
      <c r="E55" s="16" t="s">
        <v>119</v>
      </c>
    </row>
    <row r="57" customFormat="false" ht="18" hidden="false" customHeight="true" outlineLevel="0" collapsed="false">
      <c r="B57" s="7" t="s">
        <v>120</v>
      </c>
      <c r="C57" s="7"/>
      <c r="D57" s="7"/>
      <c r="E57" s="7"/>
      <c r="F57" s="7"/>
      <c r="G57" s="7"/>
      <c r="H57" s="7"/>
      <c r="I57" s="7"/>
    </row>
    <row r="58" customFormat="false" ht="15" hidden="false" customHeight="false" outlineLevel="0" collapsed="false">
      <c r="B58" s="25" t="s">
        <v>121</v>
      </c>
    </row>
    <row r="59" customFormat="false" ht="15" hidden="false" customHeight="false" outlineLevel="0" collapsed="false">
      <c r="B59" s="25" t="s">
        <v>122</v>
      </c>
    </row>
    <row r="60" customFormat="false" ht="15" hidden="false" customHeight="false" outlineLevel="0" collapsed="false">
      <c r="B60" s="25" t="s">
        <v>123</v>
      </c>
    </row>
    <row r="61" customFormat="false" ht="15" hidden="false" customHeight="false" outlineLevel="0" collapsed="false">
      <c r="B61" s="25" t="s">
        <v>124</v>
      </c>
    </row>
    <row r="63" customFormat="false" ht="15" hidden="false" customHeight="false" outlineLevel="0" collapsed="false">
      <c r="B63" s="14" t="s">
        <v>125</v>
      </c>
      <c r="C63" s="20" t="n">
        <v>256.497</v>
      </c>
      <c r="E63" s="16" t="s">
        <v>126</v>
      </c>
    </row>
    <row r="64" customFormat="false" ht="15" hidden="false" customHeight="false" outlineLevel="0" collapsed="false">
      <c r="B64" s="14" t="s">
        <v>127</v>
      </c>
      <c r="C64" s="24" t="n">
        <v>50586</v>
      </c>
      <c r="E64" s="16" t="s">
        <v>128</v>
      </c>
    </row>
    <row r="65" customFormat="false" ht="15" hidden="false" customHeight="false" outlineLevel="0" collapsed="false">
      <c r="B65" s="14" t="s">
        <v>129</v>
      </c>
      <c r="C65" s="24" t="n">
        <v>1207</v>
      </c>
      <c r="E65" s="16" t="s">
        <v>130</v>
      </c>
    </row>
    <row r="66" customFormat="false" ht="15" hidden="false" customHeight="false" outlineLevel="0" collapsed="false">
      <c r="B66" s="8" t="s">
        <v>131</v>
      </c>
      <c r="C66" s="31" t="n">
        <f aca="false">C64+C65</f>
        <v>51793</v>
      </c>
      <c r="E66" s="16" t="s">
        <v>132</v>
      </c>
    </row>
    <row r="67" customFormat="false" ht="15" hidden="false" customHeight="false" outlineLevel="0" collapsed="false">
      <c r="E67" s="16" t="s">
        <v>133</v>
      </c>
    </row>
    <row r="68" customFormat="false" ht="15" hidden="false" customHeight="false" outlineLevel="0" collapsed="false">
      <c r="E68" s="16" t="s">
        <v>134</v>
      </c>
    </row>
    <row r="70" customFormat="false" ht="15" hidden="false" customHeight="false" outlineLevel="0" collapsed="false">
      <c r="B70" s="14" t="s">
        <v>135</v>
      </c>
      <c r="C70" s="24" t="n">
        <v>13778</v>
      </c>
      <c r="E70" s="16" t="s">
        <v>136</v>
      </c>
    </row>
    <row r="71" customFormat="false" ht="15" hidden="false" customHeight="false" outlineLevel="0" collapsed="false">
      <c r="B71" s="14" t="s">
        <v>137</v>
      </c>
      <c r="C71" s="24" t="n">
        <v>17610</v>
      </c>
      <c r="E71" s="16" t="s">
        <v>138</v>
      </c>
    </row>
    <row r="72" customFormat="false" ht="15" hidden="false" customHeight="false" outlineLevel="0" collapsed="false">
      <c r="E72" s="16" t="s">
        <v>139</v>
      </c>
    </row>
    <row r="73" customFormat="false" ht="15" hidden="false" customHeight="false" outlineLevel="0" collapsed="false">
      <c r="B73" s="14" t="s">
        <v>140</v>
      </c>
      <c r="C73" s="24" t="n">
        <v>168600</v>
      </c>
      <c r="E73" s="16" t="s">
        <v>141</v>
      </c>
    </row>
    <row r="74" customFormat="false" ht="15" hidden="false" customHeight="false" outlineLevel="0" collapsed="false">
      <c r="B74" s="14" t="s">
        <v>142</v>
      </c>
      <c r="C74" s="24" t="n">
        <v>8800</v>
      </c>
      <c r="E74" s="16" t="s">
        <v>143</v>
      </c>
    </row>
    <row r="75" customFormat="false" ht="15" hidden="false" customHeight="false" outlineLevel="0" collapsed="false">
      <c r="B75" s="14" t="s">
        <v>144</v>
      </c>
      <c r="C75" s="24" t="n">
        <v>2900</v>
      </c>
      <c r="E75" s="16" t="s">
        <v>145</v>
      </c>
    </row>
    <row r="77" customFormat="false" ht="15" hidden="false" customHeight="false" outlineLevel="0" collapsed="false">
      <c r="B77" s="14" t="s">
        <v>146</v>
      </c>
      <c r="C77" s="29" t="n">
        <v>0.135</v>
      </c>
      <c r="E77" s="16" t="s">
        <v>147</v>
      </c>
    </row>
    <row r="78" customFormat="false" ht="15" hidden="false" customHeight="false" outlineLevel="0" collapsed="false">
      <c r="B78" s="14" t="s">
        <v>148</v>
      </c>
      <c r="C78" s="29" t="n">
        <v>0.14</v>
      </c>
      <c r="E78" s="16" t="s">
        <v>149</v>
      </c>
    </row>
    <row r="79" customFormat="false" ht="15" hidden="false" customHeight="false" outlineLevel="0" collapsed="false">
      <c r="E79" s="16" t="s">
        <v>150</v>
      </c>
    </row>
    <row r="80" customFormat="false" ht="15" hidden="false" customHeight="false" outlineLevel="0" collapsed="false">
      <c r="E80" s="16" t="s">
        <v>151</v>
      </c>
    </row>
    <row r="82" customFormat="false" ht="15" hidden="false" customHeight="false" outlineLevel="0" collapsed="false">
      <c r="B82" s="14" t="s">
        <v>152</v>
      </c>
      <c r="C82" s="24" t="n">
        <v>-4300</v>
      </c>
      <c r="D82" s="15" t="n">
        <v>-8.58</v>
      </c>
      <c r="E82" s="16" t="s">
        <v>153</v>
      </c>
    </row>
    <row r="83" customFormat="false" ht="15" hidden="false" customHeight="false" outlineLevel="0" collapsed="false">
      <c r="B83" s="14" t="s">
        <v>154</v>
      </c>
      <c r="C83" s="15" t="n">
        <v>5.48</v>
      </c>
      <c r="E83" s="16" t="s">
        <v>155</v>
      </c>
    </row>
    <row r="84" customFormat="false" ht="15" hidden="false" customHeight="false" outlineLevel="0" collapsed="false">
      <c r="B84" s="14" t="s">
        <v>156</v>
      </c>
      <c r="C84" s="24" t="n">
        <v>643</v>
      </c>
      <c r="E84" s="16" t="s">
        <v>157</v>
      </c>
    </row>
  </sheetData>
  <mergeCells count="9">
    <mergeCell ref="B1:I2"/>
    <mergeCell ref="B3:I3"/>
    <mergeCell ref="B5:I5"/>
    <mergeCell ref="B12:I12"/>
    <mergeCell ref="B21:I21"/>
    <mergeCell ref="B26:I26"/>
    <mergeCell ref="B36:I36"/>
    <mergeCell ref="B45:I45"/>
    <mergeCell ref="B57:I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4E8C"/>
    <pageSetUpPr fitToPage="false"/>
  </sheetPr>
  <dimension ref="B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6"/>
    <col collapsed="false" customWidth="true" hidden="false" outlineLevel="0" max="4" min="4" style="1" width="4"/>
    <col collapsed="false" customWidth="true" hidden="false" outlineLevel="0" max="5" min="5" style="1" width="46"/>
    <col collapsed="false" customWidth="true" hidden="false" outlineLevel="0" max="6" min="6" style="1" width="16"/>
  </cols>
  <sheetData>
    <row r="1" customFormat="false" ht="25.5" hidden="false" customHeight="true" outlineLevel="0" collapsed="false">
      <c r="B1" s="2" t="s">
        <v>158</v>
      </c>
      <c r="C1" s="2"/>
      <c r="D1" s="2"/>
      <c r="E1" s="2"/>
      <c r="F1" s="2"/>
    </row>
    <row r="2" customFormat="false" ht="25.5" hidden="false" customHeight="true" outlineLevel="0" collapsed="false">
      <c r="B2" s="2"/>
      <c r="C2" s="2"/>
      <c r="D2" s="2"/>
      <c r="E2" s="2"/>
      <c r="F2" s="2"/>
    </row>
    <row r="3" customFormat="false" ht="15.75" hidden="false" customHeight="true" outlineLevel="0" collapsed="false">
      <c r="B3" s="3" t="s">
        <v>159</v>
      </c>
      <c r="C3" s="3"/>
      <c r="D3" s="3"/>
      <c r="E3" s="3"/>
      <c r="F3" s="3"/>
    </row>
    <row r="5" customFormat="false" ht="18" hidden="false" customHeight="true" outlineLevel="0" collapsed="false">
      <c r="B5" s="7" t="s">
        <v>160</v>
      </c>
      <c r="C5" s="7"/>
      <c r="E5" s="7" t="s">
        <v>161</v>
      </c>
      <c r="F5" s="7"/>
    </row>
    <row r="6" customFormat="false" ht="15" hidden="false" customHeight="false" outlineLevel="0" collapsed="false">
      <c r="B6" s="14" t="s">
        <v>162</v>
      </c>
      <c r="C6" s="32" t="n">
        <f aca="false">'Key Assumptions'!C18</f>
        <v>35270.68</v>
      </c>
      <c r="E6" s="14" t="s">
        <v>163</v>
      </c>
      <c r="F6" s="32" t="n">
        <f aca="false">'Key Assumptions'!C18</f>
        <v>35270.68</v>
      </c>
    </row>
    <row r="7" customFormat="false" ht="15" hidden="false" customHeight="false" outlineLevel="0" collapsed="false">
      <c r="B7" s="14" t="s">
        <v>164</v>
      </c>
      <c r="C7" s="28" t="n">
        <f aca="false">0</f>
        <v>0</v>
      </c>
      <c r="E7" s="14" t="s">
        <v>165</v>
      </c>
      <c r="F7" s="28" t="n">
        <f aca="false">0</f>
        <v>0</v>
      </c>
    </row>
    <row r="9" customFormat="false" ht="15" hidden="false" customHeight="false" outlineLevel="0" collapsed="false">
      <c r="B9" s="33" t="s">
        <v>166</v>
      </c>
      <c r="C9" s="34" t="n">
        <f aca="false">SUM(C6:C7)</f>
        <v>35270.68</v>
      </c>
      <c r="E9" s="33" t="s">
        <v>167</v>
      </c>
      <c r="F9" s="34" t="n">
        <f aca="false">SUM(F6:F7)</f>
        <v>35270.68</v>
      </c>
    </row>
    <row r="10" customFormat="false" ht="15" hidden="false" customHeight="false" outlineLevel="0" collapsed="false">
      <c r="B10" s="14" t="s">
        <v>168</v>
      </c>
      <c r="C10" s="28" t="n">
        <f aca="false">C9-F9</f>
        <v>0</v>
      </c>
    </row>
    <row r="11" customFormat="false" ht="19.4" hidden="false" customHeight="true" outlineLevel="0" collapsed="false">
      <c r="B11" s="35" t="s">
        <v>169</v>
      </c>
      <c r="C11" s="35"/>
      <c r="D11" s="35"/>
      <c r="E11" s="35"/>
      <c r="F11" s="35"/>
      <c r="G11" s="35"/>
      <c r="H11" s="35"/>
    </row>
    <row r="12" customFormat="false" ht="18" hidden="false" customHeight="true" outlineLevel="0" collapsed="false">
      <c r="B12" s="7" t="s">
        <v>170</v>
      </c>
      <c r="C12" s="7"/>
      <c r="D12" s="7"/>
      <c r="E12" s="7"/>
      <c r="F12" s="7"/>
    </row>
    <row r="13" customFormat="false" ht="15" hidden="false" customHeight="false" outlineLevel="0" collapsed="false">
      <c r="B13" s="14" t="s">
        <v>171</v>
      </c>
      <c r="C13" s="32" t="n">
        <f aca="false">'Key Assumptions'!C37</f>
        <v>2800</v>
      </c>
    </row>
    <row r="14" customFormat="false" ht="15" hidden="false" customHeight="false" outlineLevel="0" collapsed="false">
      <c r="B14" s="14" t="s">
        <v>172</v>
      </c>
      <c r="C14" s="24" t="n">
        <v>150</v>
      </c>
      <c r="E14" s="16" t="s">
        <v>173</v>
      </c>
    </row>
    <row r="15" customFormat="false" ht="15" hidden="false" customHeight="false" outlineLevel="0" collapsed="false">
      <c r="B15" s="14" t="s">
        <v>174</v>
      </c>
      <c r="C15" s="32" t="n">
        <f aca="false">'Key Assumptions'!C52</f>
        <v>7400</v>
      </c>
    </row>
    <row r="16" customFormat="false" ht="15" hidden="false" customHeight="false" outlineLevel="0" collapsed="false">
      <c r="B16" s="14" t="s">
        <v>175</v>
      </c>
      <c r="C16" s="32" t="n">
        <f aca="false">'Key Assumptions'!C41</f>
        <v>8800</v>
      </c>
    </row>
    <row r="18" customFormat="false" ht="18" hidden="false" customHeight="true" outlineLevel="0" collapsed="false">
      <c r="B18" s="7" t="s">
        <v>176</v>
      </c>
      <c r="C18" s="7"/>
      <c r="D18" s="7"/>
      <c r="E18" s="7"/>
      <c r="F18" s="7"/>
    </row>
    <row r="19" customFormat="false" ht="15" hidden="false" customHeight="false" outlineLevel="0" collapsed="false">
      <c r="B19" s="8" t="s">
        <v>177</v>
      </c>
      <c r="C19" s="9" t="s">
        <v>178</v>
      </c>
      <c r="D19" s="9"/>
      <c r="E19" s="9"/>
      <c r="F19" s="9"/>
    </row>
    <row r="20" customFormat="false" ht="15" hidden="false" customHeight="false" outlineLevel="0" collapsed="false">
      <c r="B20" s="8" t="s">
        <v>179</v>
      </c>
      <c r="C20" s="9" t="s">
        <v>180</v>
      </c>
      <c r="D20" s="9"/>
      <c r="E20" s="9"/>
      <c r="F20" s="9"/>
    </row>
    <row r="21" customFormat="false" ht="15" hidden="false" customHeight="false" outlineLevel="0" collapsed="false">
      <c r="B21" s="8" t="s">
        <v>181</v>
      </c>
      <c r="C21" s="9" t="s">
        <v>182</v>
      </c>
      <c r="D21" s="9"/>
      <c r="E21" s="9"/>
      <c r="F21" s="9"/>
    </row>
    <row r="22" customFormat="false" ht="15" hidden="false" customHeight="false" outlineLevel="0" collapsed="false">
      <c r="B22" s="8" t="s">
        <v>183</v>
      </c>
      <c r="C22" s="9" t="s">
        <v>184</v>
      </c>
      <c r="D22" s="9"/>
      <c r="E22" s="9"/>
      <c r="F22" s="9"/>
    </row>
    <row r="23" customFormat="false" ht="15" hidden="false" customHeight="false" outlineLevel="0" collapsed="false">
      <c r="B23" s="8" t="s">
        <v>185</v>
      </c>
      <c r="C23" s="9" t="s">
        <v>186</v>
      </c>
      <c r="D23" s="9"/>
      <c r="E23" s="9"/>
      <c r="F23" s="9"/>
    </row>
    <row r="24" customFormat="false" ht="15" hidden="false" customHeight="false" outlineLevel="0" collapsed="false">
      <c r="B24" s="8" t="s">
        <v>187</v>
      </c>
      <c r="C24" s="9" t="s">
        <v>188</v>
      </c>
      <c r="D24" s="9"/>
      <c r="E24" s="9"/>
      <c r="F24" s="9"/>
    </row>
    <row r="25" customFormat="false" ht="15" hidden="false" customHeight="false" outlineLevel="0" collapsed="false">
      <c r="B25" s="8" t="s">
        <v>189</v>
      </c>
      <c r="C25" s="9" t="s">
        <v>190</v>
      </c>
      <c r="D25" s="9"/>
      <c r="E25" s="9"/>
      <c r="F25" s="9"/>
    </row>
    <row r="26" customFormat="false" ht="15" hidden="false" customHeight="false" outlineLevel="0" collapsed="false">
      <c r="B26" s="16" t="s">
        <v>191</v>
      </c>
    </row>
  </sheetData>
  <mergeCells count="14">
    <mergeCell ref="B1:F2"/>
    <mergeCell ref="B3:F3"/>
    <mergeCell ref="B5:C5"/>
    <mergeCell ref="E5:F5"/>
    <mergeCell ref="B11:H11"/>
    <mergeCell ref="B12:F12"/>
    <mergeCell ref="B18:F18"/>
    <mergeCell ref="C19:F19"/>
    <mergeCell ref="C20:F20"/>
    <mergeCell ref="C21:F21"/>
    <mergeCell ref="C22:F22"/>
    <mergeCell ref="C23:F23"/>
    <mergeCell ref="C24:F24"/>
    <mergeCell ref="C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4E8C"/>
    <pageSetUpPr fitToPage="false"/>
  </sheetPr>
  <dimension ref="B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5" min="3" style="1" width="16"/>
    <col collapsed="false" customWidth="true" hidden="false" outlineLevel="0" max="6" min="6" style="1" width="4"/>
  </cols>
  <sheetData>
    <row r="1" customFormat="false" ht="25.5" hidden="false" customHeight="true" outlineLevel="0" collapsed="false">
      <c r="B1" s="2" t="s">
        <v>192</v>
      </c>
      <c r="C1" s="2"/>
      <c r="D1" s="2"/>
      <c r="E1" s="2"/>
    </row>
    <row r="2" customFormat="false" ht="25.5" hidden="false" customHeight="true" outlineLevel="0" collapsed="false">
      <c r="B2" s="2"/>
      <c r="C2" s="2"/>
      <c r="D2" s="2"/>
      <c r="E2" s="2"/>
    </row>
    <row r="3" customFormat="false" ht="15.75" hidden="false" customHeight="true" outlineLevel="0" collapsed="false">
      <c r="B3" s="3" t="s">
        <v>193</v>
      </c>
      <c r="C3" s="3"/>
      <c r="D3" s="3"/>
      <c r="E3" s="3"/>
    </row>
    <row r="5" customFormat="false" ht="15" hidden="false" customHeight="false" outlineLevel="0" collapsed="false">
      <c r="C5" s="36" t="s">
        <v>194</v>
      </c>
      <c r="D5" s="36" t="s">
        <v>195</v>
      </c>
      <c r="E5" s="36" t="s">
        <v>196</v>
      </c>
    </row>
    <row r="6" customFormat="false" ht="15" hidden="false" customHeight="false" outlineLevel="0" collapsed="false">
      <c r="B6" s="14" t="s">
        <v>197</v>
      </c>
      <c r="C6" s="24" t="n">
        <v>36800</v>
      </c>
      <c r="D6" s="24" t="n">
        <v>15794</v>
      </c>
      <c r="E6" s="28" t="n">
        <f aca="false">C6+D6</f>
        <v>52594</v>
      </c>
    </row>
    <row r="7" customFormat="false" ht="15" hidden="false" customHeight="false" outlineLevel="0" collapsed="false">
      <c r="B7" s="14" t="s">
        <v>198</v>
      </c>
      <c r="C7" s="24" t="n">
        <v>4887</v>
      </c>
      <c r="D7" s="24" t="n">
        <v>2904</v>
      </c>
      <c r="E7" s="28" t="n">
        <f aca="false">C7+D7</f>
        <v>7791</v>
      </c>
    </row>
    <row r="8" customFormat="false" ht="15" hidden="false" customHeight="false" outlineLevel="0" collapsed="false">
      <c r="B8" s="14" t="s">
        <v>199</v>
      </c>
      <c r="C8" s="24" t="n">
        <v>305</v>
      </c>
      <c r="D8" s="24" t="n">
        <v>0</v>
      </c>
      <c r="E8" s="28" t="n">
        <f aca="false">C8+D8</f>
        <v>305</v>
      </c>
    </row>
    <row r="9" customFormat="false" ht="15" hidden="false" customHeight="false" outlineLevel="0" collapsed="false">
      <c r="B9" s="14" t="s">
        <v>200</v>
      </c>
      <c r="C9" s="28" t="n">
        <f aca="false">C7-C8</f>
        <v>4582</v>
      </c>
      <c r="D9" s="28" t="n">
        <f aca="false">D7-D8</f>
        <v>2904</v>
      </c>
      <c r="E9" s="28" t="n">
        <f aca="false">C9+D9</f>
        <v>7486</v>
      </c>
    </row>
    <row r="10" customFormat="false" ht="15" hidden="false" customHeight="false" outlineLevel="0" collapsed="false">
      <c r="B10" s="14" t="s">
        <v>201</v>
      </c>
      <c r="C10" s="20" t="n">
        <v>383.4</v>
      </c>
      <c r="D10" s="20" t="n">
        <v>257.9</v>
      </c>
      <c r="E10" s="37" t="n">
        <f aca="false">C10+D10</f>
        <v>641.3</v>
      </c>
    </row>
    <row r="11" customFormat="false" ht="15" hidden="false" customHeight="false" outlineLevel="0" collapsed="false">
      <c r="B11" s="14" t="s">
        <v>202</v>
      </c>
      <c r="C11" s="38" t="n">
        <f aca="false">C9/C10</f>
        <v>11.9509650495566</v>
      </c>
      <c r="D11" s="38" t="n">
        <f aca="false">D9/D10</f>
        <v>11.2601783637069</v>
      </c>
      <c r="E11" s="38" t="n">
        <f aca="false">E9/E10</f>
        <v>11.6731638858569</v>
      </c>
    </row>
    <row r="12" customFormat="false" ht="15" hidden="false" customHeight="false" outlineLevel="0" collapsed="false">
      <c r="B12" s="14" t="s">
        <v>203</v>
      </c>
      <c r="C12" s="20" t="n">
        <v>478.5</v>
      </c>
      <c r="D12" s="20" t="n">
        <v>145.1</v>
      </c>
      <c r="E12" s="37" t="n">
        <f aca="false">C12+D12</f>
        <v>623.6</v>
      </c>
    </row>
    <row r="13" customFormat="false" ht="15" hidden="false" customHeight="false" outlineLevel="0" collapsed="false">
      <c r="B13" s="14" t="s">
        <v>204</v>
      </c>
      <c r="C13" s="20" t="n">
        <v>348.4</v>
      </c>
      <c r="D13" s="20" t="n">
        <v>99.1</v>
      </c>
      <c r="E13" s="37" t="n">
        <f aca="false">C13+D13</f>
        <v>447.5</v>
      </c>
    </row>
    <row r="14" customFormat="false" ht="15" hidden="false" customHeight="false" outlineLevel="0" collapsed="false">
      <c r="B14" s="14" t="s">
        <v>205</v>
      </c>
      <c r="C14" s="29" t="n">
        <v>0.129</v>
      </c>
      <c r="D14" s="29" t="n">
        <v>0.146</v>
      </c>
      <c r="E14" s="39" t="s">
        <v>206</v>
      </c>
    </row>
    <row r="15" customFormat="false" ht="15" hidden="false" customHeight="false" outlineLevel="0" collapsed="false">
      <c r="B15" s="14" t="s">
        <v>207</v>
      </c>
      <c r="C15" s="15" t="n">
        <v>99.78</v>
      </c>
      <c r="D15" s="15" t="n">
        <v>50.88</v>
      </c>
      <c r="E15" s="39" t="s">
        <v>206</v>
      </c>
    </row>
    <row r="17" customFormat="false" ht="15" hidden="false" customHeight="false" outlineLevel="0" collapsed="false">
      <c r="B17" s="16" t="s">
        <v>208</v>
      </c>
    </row>
    <row r="18" customFormat="false" ht="15" hidden="false" customHeight="false" outlineLevel="0" collapsed="false">
      <c r="B18" s="16" t="s">
        <v>209</v>
      </c>
    </row>
    <row r="20" customFormat="false" ht="18" hidden="false" customHeight="true" outlineLevel="0" collapsed="false">
      <c r="B20" s="7" t="s">
        <v>210</v>
      </c>
      <c r="C20" s="7"/>
      <c r="D20" s="7"/>
      <c r="E20" s="7"/>
    </row>
    <row r="22" customFormat="false" ht="15" hidden="false" customHeight="false" outlineLevel="0" collapsed="false">
      <c r="B22" s="14" t="s">
        <v>211</v>
      </c>
      <c r="C22" s="40" t="n">
        <f aca="false">'Key Assumptions'!C24</f>
        <v>0.07</v>
      </c>
    </row>
    <row r="24" customFormat="false" ht="15" hidden="false" customHeight="false" outlineLevel="0" collapsed="false">
      <c r="C24" s="36" t="s">
        <v>212</v>
      </c>
      <c r="D24" s="36" t="s">
        <v>213</v>
      </c>
      <c r="E24" s="36" t="s">
        <v>214</v>
      </c>
      <c r="F24" s="36" t="s">
        <v>215</v>
      </c>
      <c r="G24" s="36" t="s">
        <v>216</v>
      </c>
      <c r="H24" s="36" t="s">
        <v>217</v>
      </c>
    </row>
    <row r="25" customFormat="false" ht="15" hidden="false" customHeight="false" outlineLevel="0" collapsed="false">
      <c r="B25" s="14" t="s">
        <v>218</v>
      </c>
      <c r="C25" s="28" t="n">
        <f aca="false">C9</f>
        <v>4582</v>
      </c>
      <c r="D25" s="28" t="n">
        <f aca="false">C25*(1+$C$22)</f>
        <v>4902.74</v>
      </c>
      <c r="E25" s="28" t="n">
        <f aca="false">D25*(1+$C$22)</f>
        <v>5245.9318</v>
      </c>
      <c r="F25" s="28" t="n">
        <f aca="false">E25*(1+$C$22)</f>
        <v>5613.147026</v>
      </c>
      <c r="G25" s="28" t="n">
        <f aca="false">F25*(1+$C$22)</f>
        <v>6006.06731782</v>
      </c>
      <c r="H25" s="28" t="n">
        <f aca="false">G25*(1+$C$22)</f>
        <v>6426.4920300674</v>
      </c>
    </row>
    <row r="26" customFormat="false" ht="15" hidden="false" customHeight="false" outlineLevel="0" collapsed="false">
      <c r="B26" s="14" t="s">
        <v>219</v>
      </c>
      <c r="C26" s="28" t="n">
        <f aca="false">D9</f>
        <v>2904</v>
      </c>
      <c r="D26" s="28" t="n">
        <f aca="false">C26*(1+$C$22)</f>
        <v>3107.28</v>
      </c>
      <c r="E26" s="28" t="n">
        <f aca="false">D26*(1+$C$22)</f>
        <v>3324.7896</v>
      </c>
      <c r="F26" s="28" t="n">
        <f aca="false">E26*(1+$C$22)</f>
        <v>3557.524872</v>
      </c>
      <c r="G26" s="28" t="n">
        <f aca="false">F26*(1+$C$22)</f>
        <v>3806.55161304</v>
      </c>
      <c r="H26" s="28" t="n">
        <f aca="false">G26*(1+$C$22)</f>
        <v>4073.0102259528</v>
      </c>
    </row>
    <row r="27" customFormat="false" ht="15" hidden="false" customHeight="false" outlineLevel="0" collapsed="false">
      <c r="B27" s="8" t="s">
        <v>220</v>
      </c>
      <c r="C27" s="23" t="n">
        <f aca="false">C25+C26</f>
        <v>7486</v>
      </c>
      <c r="D27" s="23" t="n">
        <f aca="false">D25+D26</f>
        <v>8010.02</v>
      </c>
      <c r="E27" s="23" t="n">
        <f aca="false">E25+E26</f>
        <v>8570.7214</v>
      </c>
      <c r="F27" s="23" t="n">
        <f aca="false">F25+F26</f>
        <v>9170.671898</v>
      </c>
      <c r="G27" s="23" t="n">
        <f aca="false">G25+G26</f>
        <v>9812.61893086</v>
      </c>
      <c r="H27" s="23" t="n">
        <f aca="false">H25+H26</f>
        <v>10499.5022560202</v>
      </c>
    </row>
  </sheetData>
  <mergeCells count="3">
    <mergeCell ref="B1:E2"/>
    <mergeCell ref="B3:E3"/>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8" min="3" style="1" width="13"/>
    <col collapsed="false" customWidth="true" hidden="false" outlineLevel="0" max="9" min="9" style="1" width="4"/>
  </cols>
  <sheetData>
    <row r="1" customFormat="false" ht="25.5" hidden="false" customHeight="true" outlineLevel="0" collapsed="false">
      <c r="B1" s="2" t="s">
        <v>221</v>
      </c>
      <c r="C1" s="2"/>
      <c r="D1" s="2"/>
      <c r="E1" s="2"/>
      <c r="F1" s="2"/>
      <c r="G1" s="2"/>
      <c r="H1" s="2"/>
    </row>
    <row r="2" customFormat="false" ht="25.5" hidden="false" customHeight="true" outlineLevel="0" collapsed="false">
      <c r="B2" s="2"/>
      <c r="C2" s="2"/>
      <c r="D2" s="2"/>
      <c r="E2" s="2"/>
      <c r="F2" s="2"/>
      <c r="G2" s="2"/>
      <c r="H2" s="2"/>
    </row>
    <row r="3" customFormat="false" ht="15.75" hidden="false" customHeight="true" outlineLevel="0" collapsed="false">
      <c r="B3" s="3" t="s">
        <v>222</v>
      </c>
      <c r="C3" s="3"/>
      <c r="D3" s="3"/>
      <c r="E3" s="3"/>
      <c r="F3" s="3"/>
      <c r="G3" s="3"/>
      <c r="H3" s="3"/>
    </row>
    <row r="5" customFormat="false" ht="15" hidden="false" customHeight="false" outlineLevel="0" collapsed="false">
      <c r="B5" s="5"/>
      <c r="C5" s="36" t="n">
        <v>2025</v>
      </c>
      <c r="D5" s="36" t="n">
        <v>2026</v>
      </c>
      <c r="E5" s="36" t="n">
        <v>2027</v>
      </c>
      <c r="F5" s="36" t="n">
        <v>2028</v>
      </c>
      <c r="G5" s="36" t="n">
        <v>2029</v>
      </c>
      <c r="H5" s="36" t="n">
        <v>2030</v>
      </c>
    </row>
    <row r="6" customFormat="false" ht="15" hidden="false" customHeight="false" outlineLevel="0" collapsed="false">
      <c r="B6" s="14" t="s">
        <v>223</v>
      </c>
      <c r="C6" s="32" t="n">
        <f aca="false">'Key Assumptions'!C33</f>
        <v>500</v>
      </c>
      <c r="D6" s="32" t="n">
        <f aca="false">'Key Assumptions'!D33</f>
        <v>1111.11111111111</v>
      </c>
      <c r="E6" s="32" t="n">
        <f aca="false">'Key Assumptions'!E33</f>
        <v>1500</v>
      </c>
      <c r="F6" s="32" t="n">
        <f aca="false">'Key Assumptions'!F33</f>
        <v>1611.11111111111</v>
      </c>
      <c r="G6" s="32" t="n">
        <f aca="false">'Key Assumptions'!G33</f>
        <v>1666.66666666667</v>
      </c>
      <c r="H6" s="32" t="n">
        <f aca="false">'Key Assumptions'!H33</f>
        <v>1777.77777777778</v>
      </c>
    </row>
    <row r="7" customFormat="false" ht="15" hidden="false" customHeight="false" outlineLevel="0" collapsed="false">
      <c r="B7" s="14" t="s">
        <v>224</v>
      </c>
      <c r="C7" s="32" t="n">
        <f aca="false">'Key Assumptions'!C34</f>
        <v>400</v>
      </c>
      <c r="D7" s="32" t="n">
        <f aca="false">'Key Assumptions'!D34</f>
        <v>888.888888888889</v>
      </c>
      <c r="E7" s="32" t="n">
        <f aca="false">'Key Assumptions'!E34</f>
        <v>1200</v>
      </c>
      <c r="F7" s="32" t="n">
        <f aca="false">'Key Assumptions'!F34</f>
        <v>1288.88888888889</v>
      </c>
      <c r="G7" s="32" t="n">
        <f aca="false">'Key Assumptions'!G34</f>
        <v>1333.33333333333</v>
      </c>
      <c r="H7" s="32" t="n">
        <f aca="false">'Key Assumptions'!H34</f>
        <v>1422.22222222222</v>
      </c>
    </row>
    <row r="8" customFormat="false" ht="15" hidden="false" customHeight="false" outlineLevel="0" collapsed="false">
      <c r="B8" s="8" t="s">
        <v>225</v>
      </c>
      <c r="C8" s="23" t="n">
        <f aca="false">C6+C7</f>
        <v>900</v>
      </c>
      <c r="D8" s="23" t="n">
        <f aca="false">D6+D7</f>
        <v>2000</v>
      </c>
      <c r="E8" s="23" t="n">
        <f aca="false">E6+E7</f>
        <v>2700</v>
      </c>
      <c r="F8" s="23" t="n">
        <f aca="false">F6+F7</f>
        <v>2900</v>
      </c>
      <c r="G8" s="23" t="n">
        <f aca="false">G6+G7</f>
        <v>3000</v>
      </c>
      <c r="H8" s="23" t="n">
        <f aca="false">H6+H7</f>
        <v>3200</v>
      </c>
    </row>
    <row r="9" customFormat="false" ht="15" hidden="false" customHeight="false" outlineLevel="0" collapsed="false">
      <c r="B9" s="25" t="s">
        <v>226</v>
      </c>
      <c r="C9" s="41" t="n">
        <f aca="false">C8/$E$8</f>
        <v>0.333333333333333</v>
      </c>
      <c r="D9" s="41" t="n">
        <f aca="false">D8/$E$8</f>
        <v>0.740740740740741</v>
      </c>
      <c r="E9" s="41" t="n">
        <f aca="false">E8/$E$8</f>
        <v>1</v>
      </c>
      <c r="F9" s="41" t="n">
        <f aca="false">F8/$E$8</f>
        <v>1.07407407407407</v>
      </c>
      <c r="G9" s="41" t="n">
        <f aca="false">G8/$E$8</f>
        <v>1.11111111111111</v>
      </c>
      <c r="H9" s="41" t="n">
        <f aca="false">H8/$E$8</f>
        <v>1.18518518518519</v>
      </c>
    </row>
    <row r="11" customFormat="false" ht="15" hidden="false" customHeight="false" outlineLevel="0" collapsed="false">
      <c r="B11" s="14" t="s">
        <v>227</v>
      </c>
      <c r="C11" s="28" t="n">
        <f aca="false">-C8*'Key Assumptions'!$C$22</f>
        <v>-216</v>
      </c>
      <c r="D11" s="28" t="n">
        <f aca="false">-D8*'Key Assumptions'!$C$22</f>
        <v>-480</v>
      </c>
      <c r="E11" s="28" t="n">
        <f aca="false">-E8*'Key Assumptions'!$C$22</f>
        <v>-648</v>
      </c>
      <c r="F11" s="28" t="n">
        <f aca="false">-F8*'Key Assumptions'!$C$22</f>
        <v>-696</v>
      </c>
      <c r="G11" s="28" t="n">
        <f aca="false">-G8*'Key Assumptions'!$C$22</f>
        <v>-720</v>
      </c>
      <c r="H11" s="28" t="n">
        <f aca="false">-H8*'Key Assumptions'!$C$22</f>
        <v>-768</v>
      </c>
    </row>
    <row r="12" customFormat="false" ht="15" hidden="false" customHeight="false" outlineLevel="0" collapsed="false">
      <c r="B12" s="8" t="s">
        <v>228</v>
      </c>
      <c r="C12" s="23" t="n">
        <f aca="false">C8+C11</f>
        <v>684</v>
      </c>
      <c r="D12" s="23" t="n">
        <f aca="false">D8+D11</f>
        <v>1520</v>
      </c>
      <c r="E12" s="23" t="n">
        <f aca="false">E8+E11</f>
        <v>2052</v>
      </c>
      <c r="F12" s="23" t="n">
        <f aca="false">F8+F11</f>
        <v>2204</v>
      </c>
      <c r="G12" s="23" t="n">
        <f aca="false">G8+G11</f>
        <v>2280</v>
      </c>
      <c r="H12" s="23" t="n">
        <f aca="false">H8+H11</f>
        <v>2432</v>
      </c>
    </row>
    <row r="14" customFormat="false" ht="18" hidden="false" customHeight="true" outlineLevel="0" collapsed="false">
      <c r="B14" s="7" t="s">
        <v>229</v>
      </c>
      <c r="C14" s="7"/>
      <c r="D14" s="7"/>
      <c r="E14" s="7"/>
      <c r="F14" s="7"/>
      <c r="G14" s="7"/>
      <c r="H14" s="7"/>
    </row>
    <row r="15" customFormat="false" ht="15" hidden="false" customHeight="false" outlineLevel="0" collapsed="false">
      <c r="B15" s="14" t="s">
        <v>230</v>
      </c>
      <c r="C15" s="32" t="n">
        <f aca="false">'Key Assumptions'!C39</f>
        <v>1400</v>
      </c>
      <c r="D15" s="32" t="n">
        <f aca="false">'Key Assumptions'!D39</f>
        <v>980</v>
      </c>
      <c r="E15" s="32" t="n">
        <f aca="false">'Key Assumptions'!E39</f>
        <v>420</v>
      </c>
      <c r="F15" s="32" t="n">
        <f aca="false">'Key Assumptions'!F39</f>
        <v>0</v>
      </c>
      <c r="G15" s="32" t="n">
        <f aca="false">'Key Assumptions'!G39</f>
        <v>0</v>
      </c>
      <c r="H15" s="32" t="n">
        <f aca="false">'Key Assumptions'!H39</f>
        <v>0</v>
      </c>
    </row>
    <row r="16" customFormat="false" ht="15" hidden="false" customHeight="false" outlineLevel="0" collapsed="false">
      <c r="B16" s="14" t="s">
        <v>231</v>
      </c>
      <c r="C16" s="28" t="n">
        <f aca="false">C15*'Key Assumptions'!$C$22</f>
        <v>336</v>
      </c>
      <c r="D16" s="28" t="n">
        <f aca="false">D15*'Key Assumptions'!$C$22</f>
        <v>235.2</v>
      </c>
      <c r="E16" s="28" t="n">
        <f aca="false">E15*'Key Assumptions'!$C$22</f>
        <v>100.8</v>
      </c>
      <c r="F16" s="28" t="n">
        <f aca="false">F15*'Key Assumptions'!$C$22</f>
        <v>0</v>
      </c>
      <c r="G16" s="28" t="n">
        <f aca="false">G15*'Key Assumptions'!$C$22</f>
        <v>0</v>
      </c>
      <c r="H16" s="28" t="n">
        <f aca="false">H15*'Key Assumptions'!$C$22</f>
        <v>0</v>
      </c>
    </row>
    <row r="17" customFormat="false" ht="15" hidden="false" customHeight="false" outlineLevel="0" collapsed="false">
      <c r="B17" s="8" t="s">
        <v>232</v>
      </c>
      <c r="C17" s="23" t="n">
        <f aca="false">C15-C16</f>
        <v>1064</v>
      </c>
      <c r="D17" s="23" t="n">
        <f aca="false">D15-D16</f>
        <v>744.8</v>
      </c>
      <c r="E17" s="23" t="n">
        <f aca="false">E15-E16</f>
        <v>319.2</v>
      </c>
      <c r="F17" s="23" t="n">
        <f aca="false">F15-F16</f>
        <v>0</v>
      </c>
      <c r="G17" s="23" t="n">
        <f aca="false">G15-G16</f>
        <v>0</v>
      </c>
      <c r="H17" s="23" t="n">
        <f aca="false">H15-H16</f>
        <v>0</v>
      </c>
    </row>
    <row r="19" customFormat="false" ht="15" hidden="false" customHeight="false" outlineLevel="0" collapsed="false">
      <c r="B19" s="8" t="s">
        <v>233</v>
      </c>
      <c r="C19" s="42" t="n">
        <f aca="false">C12-C17</f>
        <v>-380</v>
      </c>
      <c r="D19" s="42" t="n">
        <f aca="false">D12-D17</f>
        <v>775.2</v>
      </c>
      <c r="E19" s="42" t="n">
        <f aca="false">E12-E17</f>
        <v>1732.8</v>
      </c>
      <c r="F19" s="42" t="n">
        <f aca="false">F12-F17</f>
        <v>2204</v>
      </c>
      <c r="G19" s="42" t="n">
        <f aca="false">G12-G17</f>
        <v>2280</v>
      </c>
      <c r="H19" s="42" t="n">
        <f aca="false">H12-H17</f>
        <v>2432</v>
      </c>
    </row>
    <row r="22" customFormat="false" ht="15" hidden="false" customHeight="false" outlineLevel="0" collapsed="false">
      <c r="B22" s="16" t="s">
        <v>234</v>
      </c>
    </row>
    <row r="23" customFormat="false" ht="15" hidden="false" customHeight="false" outlineLevel="0" collapsed="false">
      <c r="B23" s="16" t="s">
        <v>235</v>
      </c>
    </row>
  </sheetData>
  <mergeCells count="3">
    <mergeCell ref="B1:H2"/>
    <mergeCell ref="B3:H3"/>
    <mergeCell ref="B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6" min="3" style="1" width="14"/>
    <col collapsed="false" customWidth="true" hidden="false" outlineLevel="0" max="8" min="7" style="1" width="4"/>
  </cols>
  <sheetData>
    <row r="1" customFormat="false" ht="25.5" hidden="false" customHeight="true" outlineLevel="0" collapsed="false">
      <c r="B1" s="2" t="s">
        <v>236</v>
      </c>
      <c r="C1" s="2"/>
      <c r="D1" s="2"/>
      <c r="E1" s="2"/>
      <c r="F1" s="2"/>
      <c r="G1" s="2"/>
    </row>
    <row r="2" customFormat="false" ht="25.5" hidden="false" customHeight="true" outlineLevel="0" collapsed="false">
      <c r="B2" s="2"/>
      <c r="C2" s="2"/>
      <c r="D2" s="2"/>
      <c r="E2" s="2"/>
      <c r="F2" s="2"/>
      <c r="G2" s="2"/>
    </row>
    <row r="3" customFormat="false" ht="15.75" hidden="false" customHeight="true" outlineLevel="0" collapsed="false">
      <c r="B3" s="3" t="s">
        <v>237</v>
      </c>
      <c r="C3" s="3"/>
      <c r="D3" s="3"/>
      <c r="E3" s="3"/>
      <c r="F3" s="3"/>
      <c r="G3" s="3"/>
    </row>
    <row r="5" customFormat="false" ht="15" hidden="false" customHeight="false" outlineLevel="0" collapsed="false">
      <c r="C5" s="36" t="s">
        <v>214</v>
      </c>
      <c r="D5" s="36" t="s">
        <v>215</v>
      </c>
      <c r="E5" s="36" t="s">
        <v>216</v>
      </c>
      <c r="F5" s="36" t="s">
        <v>217</v>
      </c>
    </row>
    <row r="6" customFormat="false" ht="18" hidden="false" customHeight="true" outlineLevel="0" collapsed="false">
      <c r="B6" s="7" t="s">
        <v>238</v>
      </c>
      <c r="C6" s="7"/>
      <c r="D6" s="7"/>
      <c r="E6" s="7"/>
      <c r="F6" s="7"/>
      <c r="G6" s="7"/>
    </row>
    <row r="7" customFormat="false" ht="15" hidden="false" customHeight="false" outlineLevel="0" collapsed="false">
      <c r="B7" s="14" t="s">
        <v>218</v>
      </c>
      <c r="C7" s="32" t="n">
        <f aca="false">'Standalone Financials'!E25</f>
        <v>5245.9318</v>
      </c>
      <c r="D7" s="32" t="n">
        <f aca="false">'Standalone Financials'!F25</f>
        <v>5613.147026</v>
      </c>
      <c r="E7" s="32" t="n">
        <f aca="false">'Standalone Financials'!G25</f>
        <v>6006.06731782</v>
      </c>
      <c r="F7" s="32" t="n">
        <f aca="false">'Standalone Financials'!H25</f>
        <v>6426.4920300674</v>
      </c>
    </row>
    <row r="8" customFormat="false" ht="15" hidden="false" customHeight="false" outlineLevel="0" collapsed="false">
      <c r="B8" s="14" t="s">
        <v>239</v>
      </c>
      <c r="C8" s="43" t="n">
        <f aca="false">'Key Assumptions'!$C$14</f>
        <v>383.4</v>
      </c>
      <c r="D8" s="43" t="n">
        <f aca="false">'Key Assumptions'!$C$14</f>
        <v>383.4</v>
      </c>
      <c r="E8" s="43" t="n">
        <f aca="false">'Key Assumptions'!$C$14</f>
        <v>383.4</v>
      </c>
      <c r="F8" s="43" t="n">
        <f aca="false">'Key Assumptions'!$C$14</f>
        <v>383.4</v>
      </c>
    </row>
    <row r="9" customFormat="false" ht="15" hidden="false" customHeight="false" outlineLevel="0" collapsed="false">
      <c r="B9" s="8" t="s">
        <v>240</v>
      </c>
      <c r="C9" s="18" t="n">
        <f aca="false">C7/C8</f>
        <v>13.6826598852374</v>
      </c>
      <c r="D9" s="18" t="n">
        <f aca="false">D7/D8</f>
        <v>14.640446077204</v>
      </c>
      <c r="E9" s="18" t="n">
        <f aca="false">E7/E8</f>
        <v>15.6652773026083</v>
      </c>
      <c r="F9" s="18" t="n">
        <f aca="false">F7/F8</f>
        <v>16.7618467137908</v>
      </c>
    </row>
    <row r="11" customFormat="false" ht="18" hidden="false" customHeight="true" outlineLevel="0" collapsed="false">
      <c r="B11" s="7" t="s">
        <v>241</v>
      </c>
      <c r="C11" s="7"/>
      <c r="D11" s="7"/>
      <c r="E11" s="7"/>
      <c r="F11" s="7"/>
      <c r="G11" s="7"/>
    </row>
    <row r="12" customFormat="false" ht="15" hidden="false" customHeight="false" outlineLevel="0" collapsed="false">
      <c r="B12" s="14" t="s">
        <v>220</v>
      </c>
      <c r="C12" s="32" t="n">
        <f aca="false">'Standalone Financials'!E27</f>
        <v>8570.7214</v>
      </c>
      <c r="D12" s="32" t="n">
        <f aca="false">'Standalone Financials'!F27</f>
        <v>9170.671898</v>
      </c>
      <c r="E12" s="32" t="n">
        <f aca="false">'Standalone Financials'!G27</f>
        <v>9812.61893086</v>
      </c>
      <c r="F12" s="32" t="n">
        <f aca="false">'Standalone Financials'!H27</f>
        <v>10499.5022560202</v>
      </c>
    </row>
    <row r="13" customFormat="false" ht="15" hidden="false" customHeight="false" outlineLevel="0" collapsed="false">
      <c r="B13" s="14" t="s">
        <v>242</v>
      </c>
      <c r="C13" s="32" t="n">
        <f aca="false">'Synergy Build'!C12</f>
        <v>684</v>
      </c>
      <c r="D13" s="32" t="n">
        <f aca="false">'Synergy Build'!D12</f>
        <v>1520</v>
      </c>
      <c r="E13" s="32" t="n">
        <f aca="false">'Synergy Build'!E12</f>
        <v>2052</v>
      </c>
      <c r="F13" s="32" t="n">
        <f aca="false">'Synergy Build'!F12</f>
        <v>2204</v>
      </c>
    </row>
    <row r="14" customFormat="false" ht="15" hidden="false" customHeight="false" outlineLevel="0" collapsed="false">
      <c r="B14" s="8" t="s">
        <v>243</v>
      </c>
      <c r="C14" s="23" t="n">
        <f aca="false">C12+C13</f>
        <v>9254.7214</v>
      </c>
      <c r="D14" s="23" t="n">
        <f aca="false">D12+D13</f>
        <v>10690.671898</v>
      </c>
      <c r="E14" s="23" t="n">
        <f aca="false">E12+E13</f>
        <v>11864.61893086</v>
      </c>
      <c r="F14" s="23" t="n">
        <f aca="false">F12+F13</f>
        <v>12703.5022560202</v>
      </c>
    </row>
    <row r="15" customFormat="false" ht="15" hidden="false" customHeight="false" outlineLevel="0" collapsed="false">
      <c r="B15" s="14" t="s">
        <v>64</v>
      </c>
      <c r="C15" s="43" t="n">
        <f aca="false">'Key Assumptions'!$C$15</f>
        <v>640.4</v>
      </c>
      <c r="D15" s="43" t="n">
        <f aca="false">'Key Assumptions'!$C$15</f>
        <v>640.4</v>
      </c>
      <c r="E15" s="43" t="n">
        <f aca="false">'Key Assumptions'!$C$15</f>
        <v>640.4</v>
      </c>
      <c r="F15" s="43" t="n">
        <f aca="false">'Key Assumptions'!$C$15</f>
        <v>640.4</v>
      </c>
    </row>
    <row r="16" customFormat="false" ht="15" hidden="false" customHeight="false" outlineLevel="0" collapsed="false">
      <c r="B16" s="8" t="s">
        <v>244</v>
      </c>
      <c r="C16" s="18" t="n">
        <f aca="false">C14/C15</f>
        <v>14.4514700187383</v>
      </c>
      <c r="D16" s="18" t="n">
        <f aca="false">D14/D15</f>
        <v>16.6937412523423</v>
      </c>
      <c r="E16" s="18" t="n">
        <f aca="false">E14/E15</f>
        <v>18.5268877746096</v>
      </c>
      <c r="F16" s="18" t="n">
        <f aca="false">F14/F15</f>
        <v>19.8368242598692</v>
      </c>
    </row>
    <row r="17" customFormat="false" ht="15" hidden="false" customHeight="false" outlineLevel="0" collapsed="false">
      <c r="B17" s="8" t="s">
        <v>245</v>
      </c>
      <c r="C17" s="19" t="n">
        <f aca="false">C16/C9-1</f>
        <v>0.0561886460636525</v>
      </c>
      <c r="D17" s="19" t="n">
        <f aca="false">D16/D9-1</f>
        <v>0.140248129347331</v>
      </c>
      <c r="E17" s="19" t="n">
        <f aca="false">E16/E9-1</f>
        <v>0.182672187457858</v>
      </c>
      <c r="F17" s="19" t="n">
        <f aca="false">F16/F9-1</f>
        <v>0.183451000273638</v>
      </c>
    </row>
    <row r="19" customFormat="false" ht="18" hidden="false" customHeight="true" outlineLevel="0" collapsed="false">
      <c r="B19" s="7" t="s">
        <v>246</v>
      </c>
      <c r="C19" s="7"/>
      <c r="D19" s="7"/>
      <c r="E19" s="7"/>
      <c r="F19" s="7"/>
      <c r="G19" s="7"/>
    </row>
    <row r="20" customFormat="false" ht="15" hidden="false" customHeight="false" outlineLevel="0" collapsed="false">
      <c r="B20" s="14" t="s">
        <v>243</v>
      </c>
      <c r="C20" s="28" t="n">
        <f aca="false">C14</f>
        <v>9254.7214</v>
      </c>
      <c r="D20" s="28" t="n">
        <f aca="false">D14</f>
        <v>10690.671898</v>
      </c>
      <c r="E20" s="28" t="n">
        <f aca="false">E14</f>
        <v>11864.61893086</v>
      </c>
      <c r="F20" s="28" t="n">
        <f aca="false">F14</f>
        <v>12703.5022560202</v>
      </c>
    </row>
    <row r="21" customFormat="false" ht="15" hidden="false" customHeight="false" outlineLevel="0" collapsed="false">
      <c r="B21" s="14" t="s">
        <v>247</v>
      </c>
      <c r="C21" s="32" t="n">
        <f aca="false">-'Synergy Build'!C17</f>
        <v>-1064</v>
      </c>
      <c r="D21" s="32" t="n">
        <f aca="false">-'Synergy Build'!D17</f>
        <v>-744.8</v>
      </c>
      <c r="E21" s="32" t="n">
        <f aca="false">-'Synergy Build'!E17</f>
        <v>-319.2</v>
      </c>
      <c r="F21" s="32" t="n">
        <f aca="false">-'Synergy Build'!F17</f>
        <v>-0</v>
      </c>
    </row>
    <row r="22" customFormat="false" ht="15" hidden="false" customHeight="false" outlineLevel="0" collapsed="false">
      <c r="B22" s="14" t="s">
        <v>248</v>
      </c>
      <c r="C22" s="32" t="n">
        <f aca="false">-'Key Assumptions'!C43*(1-'Key Assumptions'!$C$22)</f>
        <v>-114</v>
      </c>
      <c r="D22" s="32" t="n">
        <f aca="false">-'Key Assumptions'!D43*(1-'Key Assumptions'!$C$22)</f>
        <v>-106.4</v>
      </c>
      <c r="E22" s="32" t="n">
        <f aca="false">-'Key Assumptions'!E43*(1-'Key Assumptions'!$C$22)</f>
        <v>-91.2</v>
      </c>
      <c r="F22" s="32" t="n">
        <f aca="false">-'Key Assumptions'!F43*(1-'Key Assumptions'!$C$22)</f>
        <v>-76</v>
      </c>
    </row>
    <row r="23" customFormat="false" ht="15" hidden="false" customHeight="false" outlineLevel="0" collapsed="false">
      <c r="B23" s="14" t="s">
        <v>249</v>
      </c>
      <c r="C23" s="32" t="n">
        <f aca="false">-'Key Assumptions'!$C$41*(1-'Key Assumptions'!$C$22)</f>
        <v>-6688</v>
      </c>
      <c r="D23" s="28" t="n">
        <v>0</v>
      </c>
      <c r="E23" s="28" t="n">
        <v>0</v>
      </c>
      <c r="F23" s="28" t="n">
        <v>0</v>
      </c>
    </row>
    <row r="24" customFormat="false" ht="15" hidden="false" customHeight="false" outlineLevel="0" collapsed="false">
      <c r="B24" s="8" t="s">
        <v>250</v>
      </c>
      <c r="C24" s="23" t="n">
        <f aca="false">SUM(C20:C23)</f>
        <v>1388.7214</v>
      </c>
      <c r="D24" s="23" t="n">
        <f aca="false">SUM(D20:D23)</f>
        <v>9839.471898</v>
      </c>
      <c r="E24" s="23" t="n">
        <f aca="false">SUM(E20:E23)</f>
        <v>11454.21893086</v>
      </c>
      <c r="F24" s="23" t="n">
        <f aca="false">SUM(F20:F23)</f>
        <v>12627.5022560202</v>
      </c>
    </row>
    <row r="25" customFormat="false" ht="15" hidden="false" customHeight="false" outlineLevel="0" collapsed="false">
      <c r="B25" s="8" t="s">
        <v>251</v>
      </c>
      <c r="C25" s="18" t="n">
        <f aca="false">C24/C15</f>
        <v>2.16852186133667</v>
      </c>
      <c r="D25" s="18" t="n">
        <f aca="false">D24/D15</f>
        <v>15.3645719831355</v>
      </c>
      <c r="E25" s="18" t="n">
        <f aca="false">E24/E15</f>
        <v>17.8860383055278</v>
      </c>
      <c r="F25" s="18" t="n">
        <f aca="false">F24/F15</f>
        <v>19.7181484322614</v>
      </c>
    </row>
    <row r="26" customFormat="false" ht="15" hidden="false" customHeight="false" outlineLevel="0" collapsed="false">
      <c r="B26" s="8" t="s">
        <v>252</v>
      </c>
      <c r="C26" s="19" t="n">
        <f aca="false">C25/C9-1</f>
        <v>-0.841513135638462</v>
      </c>
      <c r="D26" s="19" t="n">
        <f aca="false">D25/D9-1</f>
        <v>0.0494606449908028</v>
      </c>
      <c r="E26" s="19" t="n">
        <f aca="false">E25/E9-1</f>
        <v>0.141763274279849</v>
      </c>
      <c r="F26" s="19" t="n">
        <f aca="false">F25/F9-1</f>
        <v>0.176370883766541</v>
      </c>
    </row>
    <row r="28" customFormat="false" ht="18" hidden="false" customHeight="true" outlineLevel="0" collapsed="false">
      <c r="B28" s="7" t="s">
        <v>253</v>
      </c>
      <c r="C28" s="7"/>
      <c r="D28" s="7"/>
      <c r="E28" s="7"/>
      <c r="F28" s="7"/>
      <c r="G28" s="7"/>
    </row>
    <row r="29" customFormat="false" ht="15" hidden="false" customHeight="false" outlineLevel="0" collapsed="false">
      <c r="B29" s="14" t="s">
        <v>254</v>
      </c>
      <c r="C29" s="22" t="n">
        <f aca="false">C14/'Key Assumptions'!$C$19</f>
        <v>0.262173410764873</v>
      </c>
      <c r="D29" s="22" t="n">
        <f aca="false">D14/'Key Assumptions'!$C$19</f>
        <v>0.302851895127479</v>
      </c>
      <c r="E29" s="22" t="n">
        <f aca="false">E14/'Key Assumptions'!$C$19</f>
        <v>0.336108185010198</v>
      </c>
      <c r="F29" s="22" t="n">
        <f aca="false">F14/'Key Assumptions'!$C$19</f>
        <v>0.35987258515638</v>
      </c>
    </row>
    <row r="30" customFormat="false" ht="15" hidden="false" customHeight="false" outlineLevel="0" collapsed="false">
      <c r="B30" s="14" t="s">
        <v>255</v>
      </c>
      <c r="C30" s="22" t="n">
        <f aca="false">C14/'Key Assumptions'!$C$66</f>
        <v>0.178686722143919</v>
      </c>
      <c r="D30" s="22" t="n">
        <f aca="false">D14/'Key Assumptions'!$C$66</f>
        <v>0.206411520823277</v>
      </c>
      <c r="E30" s="22" t="n">
        <f aca="false">E14/'Key Assumptions'!$C$66</f>
        <v>0.229077653946672</v>
      </c>
      <c r="F30" s="22" t="n">
        <f aca="false">F14/'Key Assumptions'!$C$66</f>
        <v>0.245274501496731</v>
      </c>
    </row>
    <row r="31" customFormat="false" ht="15" hidden="false" customHeight="false" outlineLevel="0" collapsed="false">
      <c r="B31" s="16" t="s">
        <v>256</v>
      </c>
    </row>
    <row r="32" customFormat="false" ht="15" hidden="false" customHeight="false" outlineLevel="0" collapsed="false">
      <c r="B32" s="16" t="s">
        <v>257</v>
      </c>
    </row>
    <row r="33" customFormat="false" ht="15" hidden="false" customHeight="false" outlineLevel="0" collapsed="false">
      <c r="B33" s="16" t="s">
        <v>258</v>
      </c>
    </row>
    <row r="35" customFormat="false" ht="15" hidden="false" customHeight="false" outlineLevel="0" collapsed="false">
      <c r="B35" s="16" t="s">
        <v>259</v>
      </c>
    </row>
    <row r="36" customFormat="false" ht="15" hidden="false" customHeight="false" outlineLevel="0" collapsed="false">
      <c r="B36" s="16" t="s">
        <v>260</v>
      </c>
    </row>
    <row r="37" customFormat="false" ht="15" hidden="false" customHeight="false" outlineLevel="0" collapsed="false">
      <c r="B37" s="16" t="s">
        <v>261</v>
      </c>
    </row>
    <row r="38" customFormat="false" ht="15" hidden="false" customHeight="false" outlineLevel="0" collapsed="false">
      <c r="B38" s="16" t="s">
        <v>262</v>
      </c>
    </row>
    <row r="39" customFormat="false" ht="15" hidden="false" customHeight="false" outlineLevel="0" collapsed="false">
      <c r="B39" s="16" t="s">
        <v>263</v>
      </c>
    </row>
  </sheetData>
  <mergeCells count="6">
    <mergeCell ref="B1:G2"/>
    <mergeCell ref="B3:G3"/>
    <mergeCell ref="B6:G6"/>
    <mergeCell ref="B11:G11"/>
    <mergeCell ref="B19:G19"/>
    <mergeCell ref="B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7" min="3" style="1" width="14"/>
    <col collapsed="false" customWidth="true" hidden="false" outlineLevel="0" max="8" min="8" style="1" width="4"/>
    <col collapsed="false" customWidth="true" hidden="false" outlineLevel="0" max="9" min="9" style="1" width="40"/>
  </cols>
  <sheetData>
    <row r="1" customFormat="false" ht="25.5" hidden="false" customHeight="true" outlineLevel="0" collapsed="false">
      <c r="B1" s="2" t="s">
        <v>264</v>
      </c>
      <c r="C1" s="2"/>
      <c r="D1" s="2"/>
      <c r="E1" s="2"/>
      <c r="F1" s="2"/>
      <c r="G1" s="2"/>
      <c r="H1" s="2"/>
    </row>
    <row r="2" customFormat="false" ht="25.5" hidden="false" customHeight="true" outlineLevel="0" collapsed="false">
      <c r="B2" s="2"/>
      <c r="C2" s="2"/>
      <c r="D2" s="2"/>
      <c r="E2" s="2"/>
      <c r="F2" s="2"/>
      <c r="G2" s="2"/>
      <c r="H2" s="2"/>
    </row>
    <row r="3" customFormat="false" ht="15.75" hidden="false" customHeight="true" outlineLevel="0" collapsed="false">
      <c r="B3" s="3" t="s">
        <v>265</v>
      </c>
      <c r="C3" s="3"/>
      <c r="D3" s="3"/>
      <c r="E3" s="3"/>
      <c r="F3" s="3"/>
      <c r="G3" s="3"/>
      <c r="H3" s="3"/>
    </row>
    <row r="5" customFormat="false" ht="18" hidden="false" customHeight="true" outlineLevel="0" collapsed="false">
      <c r="B5" s="7" t="s">
        <v>266</v>
      </c>
      <c r="C5" s="7"/>
      <c r="D5" s="7"/>
      <c r="E5" s="7"/>
      <c r="F5" s="7"/>
      <c r="G5" s="7"/>
      <c r="H5" s="7"/>
    </row>
    <row r="6" customFormat="false" ht="15" hidden="false" customHeight="false" outlineLevel="0" collapsed="false">
      <c r="B6" s="14" t="s">
        <v>267</v>
      </c>
      <c r="C6" s="44" t="n">
        <f aca="false">'Key Assumptions'!$C$6</f>
        <v>110.49</v>
      </c>
    </row>
    <row r="7" customFormat="false" ht="15" hidden="false" customHeight="false" outlineLevel="0" collapsed="false">
      <c r="B7" s="14" t="s">
        <v>268</v>
      </c>
      <c r="C7" s="44" t="n">
        <f aca="false">'Key Assumptions'!$C$7</f>
        <v>137.24</v>
      </c>
    </row>
    <row r="8" customFormat="false" ht="15" hidden="false" customHeight="false" outlineLevel="0" collapsed="false">
      <c r="B8" s="14" t="s">
        <v>269</v>
      </c>
      <c r="C8" s="37" t="n">
        <f aca="false">'Key Assumptions'!$C$13/'Key Assumptions'!$C$8</f>
        <v>252.158555729984</v>
      </c>
    </row>
    <row r="9" customFormat="false" ht="15" hidden="false" customHeight="false" outlineLevel="0" collapsed="false">
      <c r="B9" s="14" t="s">
        <v>270</v>
      </c>
      <c r="C9" s="43" t="n">
        <f aca="false">'Key Assumptions'!$C$14</f>
        <v>383.4</v>
      </c>
    </row>
    <row r="10" customFormat="false" ht="15" hidden="false" customHeight="false" outlineLevel="0" collapsed="false">
      <c r="B10" s="14" t="s">
        <v>271</v>
      </c>
      <c r="C10" s="32" t="n">
        <f aca="false">'Standalone Financials'!G27</f>
        <v>9812.61893086</v>
      </c>
    </row>
    <row r="11" customFormat="false" ht="15" hidden="false" customHeight="false" outlineLevel="0" collapsed="false">
      <c r="B11" s="14" t="s">
        <v>272</v>
      </c>
      <c r="C11" s="44" t="n">
        <f aca="false">'Accretion-Dilution'!E9</f>
        <v>15.6652773026083</v>
      </c>
    </row>
    <row r="12" customFormat="false" ht="15" hidden="false" customHeight="false" outlineLevel="0" collapsed="false">
      <c r="B12" s="14" t="s">
        <v>273</v>
      </c>
      <c r="C12" s="32" t="n">
        <f aca="false">'Synergy Build'!E12</f>
        <v>2052</v>
      </c>
    </row>
    <row r="14" customFormat="false" ht="18" hidden="false" customHeight="true" outlineLevel="0" collapsed="false">
      <c r="B14" s="7" t="s">
        <v>274</v>
      </c>
      <c r="C14" s="7"/>
      <c r="D14" s="7"/>
      <c r="E14" s="7"/>
      <c r="F14" s="7"/>
      <c r="G14" s="7"/>
      <c r="H14" s="7"/>
    </row>
    <row r="15" customFormat="false" ht="15" hidden="false" customHeight="false" outlineLevel="0" collapsed="false">
      <c r="B15" s="25" t="s">
        <v>275</v>
      </c>
    </row>
    <row r="17" customFormat="false" ht="15" hidden="false" customHeight="false" outlineLevel="0" collapsed="false">
      <c r="B17" s="8" t="s">
        <v>276</v>
      </c>
      <c r="C17" s="45" t="n">
        <v>0.15</v>
      </c>
      <c r="D17" s="45" t="n">
        <v>0.2</v>
      </c>
      <c r="E17" s="45" t="n">
        <v>0.266</v>
      </c>
      <c r="F17" s="45" t="n">
        <v>0.3</v>
      </c>
      <c r="G17" s="45" t="n">
        <v>0.35</v>
      </c>
    </row>
    <row r="18" customFormat="false" ht="15" hidden="false" customHeight="false" outlineLevel="0" collapsed="false">
      <c r="B18" s="46" t="n">
        <v>0.5</v>
      </c>
      <c r="C18" s="22" t="n">
        <f aca="false">(($C$10+$C$12*0.5)/($C$9+($C$6*(1+0.15)/$C$7)*$C$8))/$C$11-1</f>
        <v>0.121627753315788</v>
      </c>
      <c r="D18" s="22" t="n">
        <f aca="false">(($C$10+$C$12*0.5)/($C$9+($C$6*(1+0.2)/$C$7)*$C$8))/$C$11-1</f>
        <v>0.103470111790892</v>
      </c>
      <c r="E18" s="22" t="n">
        <f aca="false">(($C$10+$C$12*0.5)/($C$9+($C$6*(1+0.266)/$C$7)*$C$8))/$C$11-1</f>
        <v>0.0803833769160223</v>
      </c>
      <c r="F18" s="22" t="n">
        <f aca="false">(($C$10+$C$12*0.5)/($C$9+($C$6*(1+0.3)/$C$7)*$C$8))/$C$11-1</f>
        <v>0.0688632026527287</v>
      </c>
      <c r="G18" s="22" t="n">
        <f aca="false">(($C$10+$C$12*0.5)/($C$9+($C$6*(1+0.35)/$C$7)*$C$8))/$C$11-1</f>
        <v>0.0523611843835683</v>
      </c>
    </row>
    <row r="19" customFormat="false" ht="15" hidden="false" customHeight="false" outlineLevel="0" collapsed="false">
      <c r="B19" s="46" t="n">
        <v>0.75</v>
      </c>
      <c r="C19" s="22" t="n">
        <f aca="false">(($C$10+$C$12*0.75)/($C$9+($C$6*(1+0.15)/$C$7)*$C$8))/$C$11-1</f>
        <v>0.174715239933914</v>
      </c>
      <c r="D19" s="22" t="n">
        <f aca="false">(($C$10+$C$12*0.75)/($C$9+($C$6*(1+0.2)/$C$7)*$C$8))/$C$11-1</f>
        <v>0.155698183555365</v>
      </c>
      <c r="E19" s="22" t="n">
        <f aca="false">(($C$10+$C$12*0.75)/($C$9+($C$6*(1+0.266)/$C$7)*$C$8))/$C$11-1</f>
        <v>0.131518736124923</v>
      </c>
      <c r="F19" s="22" t="n">
        <f aca="false">(($C$10+$C$12*0.75)/($C$9+($C$6*(1+0.3)/$C$7)*$C$8))/$C$11-1</f>
        <v>0.11945330333425</v>
      </c>
      <c r="G19" s="22" t="n">
        <f aca="false">(($C$10+$C$12*0.75)/($C$9+($C$6*(1+0.35)/$C$7)*$C$8))/$C$11-1</f>
        <v>0.102170232107505</v>
      </c>
    </row>
    <row r="20" customFormat="false" ht="15" hidden="false" customHeight="false" outlineLevel="0" collapsed="false">
      <c r="B20" s="46" t="n">
        <v>1</v>
      </c>
      <c r="C20" s="22" t="n">
        <f aca="false">(($C$10+$C$12*1)/($C$9+($C$6*(1+0.15)/$C$7)*$C$8))/$C$11-1</f>
        <v>0.22780272655204</v>
      </c>
      <c r="D20" s="22" t="n">
        <f aca="false">(($C$10+$C$12*1)/($C$9+($C$6*(1+0.2)/$C$7)*$C$8))/$C$11-1</f>
        <v>0.207926255319837</v>
      </c>
      <c r="E20" s="47" t="n">
        <f aca="false">(($C$10+$C$12*1)/($C$9+($C$6*(1+0.266)/$C$7)*$C$8))/$C$11-1</f>
        <v>0.182654095333824</v>
      </c>
      <c r="F20" s="22" t="n">
        <f aca="false">(($C$10+$C$12*1)/($C$9+($C$6*(1+0.3)/$C$7)*$C$8))/$C$11-1</f>
        <v>0.170043404015771</v>
      </c>
      <c r="G20" s="22" t="n">
        <f aca="false">(($C$10+$C$12*1)/($C$9+($C$6*(1+0.35)/$C$7)*$C$8))/$C$11-1</f>
        <v>0.151979279831442</v>
      </c>
    </row>
    <row r="21" customFormat="false" ht="15" hidden="false" customHeight="false" outlineLevel="0" collapsed="false">
      <c r="B21" s="46" t="n">
        <v>1.1</v>
      </c>
      <c r="C21" s="22" t="n">
        <f aca="false">(($C$10+$C$12*1.1)/($C$9+($C$6*(1+0.15)/$C$7)*$C$8))/$C$11-1</f>
        <v>0.249037721199291</v>
      </c>
      <c r="D21" s="22" t="n">
        <f aca="false">(($C$10+$C$12*1.1)/($C$9+($C$6*(1+0.2)/$C$7)*$C$8))/$C$11-1</f>
        <v>0.228817484025626</v>
      </c>
      <c r="E21" s="22" t="n">
        <f aca="false">(($C$10+$C$12*1.1)/($C$9+($C$6*(1+0.266)/$C$7)*$C$8))/$C$11-1</f>
        <v>0.203108239017384</v>
      </c>
      <c r="F21" s="22" t="n">
        <f aca="false">(($C$10+$C$12*1.1)/($C$9+($C$6*(1+0.3)/$C$7)*$C$8))/$C$11-1</f>
        <v>0.19027944428838</v>
      </c>
      <c r="G21" s="22" t="n">
        <f aca="false">(($C$10+$C$12*1.1)/($C$9+($C$6*(1+0.35)/$C$7)*$C$8))/$C$11-1</f>
        <v>0.171902898921017</v>
      </c>
    </row>
    <row r="22" customFormat="false" ht="15" hidden="false" customHeight="false" outlineLevel="0" collapsed="false">
      <c r="B22" s="46" t="n">
        <v>1.25</v>
      </c>
      <c r="C22" s="22" t="n">
        <f aca="false">(($C$10+$C$12*1.25)/($C$9+($C$6*(1+0.15)/$C$7)*$C$8))/$C$11-1</f>
        <v>0.280890213170167</v>
      </c>
      <c r="D22" s="22" t="n">
        <f aca="false">(($C$10+$C$12*1.25)/($C$9+($C$6*(1+0.2)/$C$7)*$C$8))/$C$11-1</f>
        <v>0.26015432708431</v>
      </c>
      <c r="E22" s="22" t="n">
        <f aca="false">(($C$10+$C$12*1.25)/($C$9+($C$6*(1+0.266)/$C$7)*$C$8))/$C$11-1</f>
        <v>0.233789454542725</v>
      </c>
      <c r="F22" s="22" t="n">
        <f aca="false">(($C$10+$C$12*1.25)/($C$9+($C$6*(1+0.3)/$C$7)*$C$8))/$C$11-1</f>
        <v>0.220633504697292</v>
      </c>
      <c r="G22" s="22" t="n">
        <f aca="false">(($C$10+$C$12*1.25)/($C$9+($C$6*(1+0.35)/$C$7)*$C$8))/$C$11-1</f>
        <v>0.201788327555378</v>
      </c>
    </row>
    <row r="24" customFormat="false" ht="15" hidden="false" customHeight="false" outlineLevel="0" collapsed="false">
      <c r="B24" s="16" t="s">
        <v>277</v>
      </c>
    </row>
    <row r="25" customFormat="false" ht="15" hidden="false" customHeight="false" outlineLevel="0" collapsed="false">
      <c r="B25" s="16" t="s">
        <v>278</v>
      </c>
    </row>
    <row r="28" customFormat="false" ht="18" hidden="false" customHeight="true" outlineLevel="0" collapsed="false">
      <c r="B28" s="7" t="s">
        <v>279</v>
      </c>
      <c r="C28" s="7"/>
      <c r="D28" s="7"/>
      <c r="E28" s="7"/>
      <c r="F28" s="7"/>
      <c r="G28" s="7"/>
      <c r="H28" s="7"/>
    </row>
    <row r="29" customFormat="false" ht="15" hidden="false" customHeight="false" outlineLevel="0" collapsed="false">
      <c r="B29" s="25" t="s">
        <v>280</v>
      </c>
    </row>
    <row r="31" customFormat="false" ht="15" hidden="false" customHeight="false" outlineLevel="0" collapsed="false">
      <c r="B31" s="14" t="s">
        <v>281</v>
      </c>
    </row>
    <row r="32" customFormat="false" ht="15" hidden="false" customHeight="false" outlineLevel="0" collapsed="false">
      <c r="B32" s="14" t="s">
        <v>282</v>
      </c>
      <c r="C32" s="32" t="n">
        <f aca="false">'Accretion-Dilution'!E14</f>
        <v>11864.61893086</v>
      </c>
    </row>
    <row r="33" customFormat="false" ht="15" hidden="false" customHeight="false" outlineLevel="0" collapsed="false">
      <c r="B33" s="14" t="s">
        <v>283</v>
      </c>
      <c r="C33" s="32" t="n">
        <f aca="false">'Accretion-Dilution'!E21</f>
        <v>-319.2</v>
      </c>
    </row>
    <row r="34" customFormat="false" ht="15" hidden="false" customHeight="false" outlineLevel="0" collapsed="false">
      <c r="B34" s="14" t="s">
        <v>284</v>
      </c>
      <c r="C34" s="32" t="n">
        <f aca="false">'Accretion-Dilution'!E22</f>
        <v>-91.2</v>
      </c>
    </row>
    <row r="35" customFormat="false" ht="15" hidden="false" customHeight="false" outlineLevel="0" collapsed="false">
      <c r="B35" s="14" t="s">
        <v>285</v>
      </c>
      <c r="C35" s="43" t="n">
        <f aca="false">'Key Assumptions'!$C$15</f>
        <v>640.4</v>
      </c>
    </row>
    <row r="37" customFormat="false" ht="15" hidden="false" customHeight="false" outlineLevel="0" collapsed="false">
      <c r="B37" s="8" t="s">
        <v>286</v>
      </c>
      <c r="C37" s="48" t="n">
        <v>0.75</v>
      </c>
      <c r="D37" s="48" t="n">
        <v>1</v>
      </c>
      <c r="E37" s="48" t="n">
        <v>1.25</v>
      </c>
      <c r="F37" s="48" t="n">
        <v>1.5</v>
      </c>
      <c r="G37" s="48" t="n">
        <v>2</v>
      </c>
    </row>
    <row r="38" customFormat="false" ht="15" hidden="false" customHeight="false" outlineLevel="0" collapsed="false">
      <c r="B38" s="46" t="n">
        <v>0.5</v>
      </c>
      <c r="C38" s="22" t="n">
        <f aca="false">((($C$32-'Accretion-Dilution'!$E$13*(1-0.5))+$C$34+$C$33*0.75)/$C$35)/$C$11-1</f>
        <v>0.0474455022305527</v>
      </c>
      <c r="D38" s="22" t="n">
        <f aca="false">((($C$32-'Accretion-Dilution'!$E$13*(1-0.5))+$C$34+$C$33*1)/$C$35)/$C$11-1</f>
        <v>0.0394909913348287</v>
      </c>
      <c r="E38" s="22" t="n">
        <f aca="false">((($C$32-'Accretion-Dilution'!$E$13*(1-0.5))+$C$34+$C$33*1.25)/$C$35)/$C$11-1</f>
        <v>0.031536480439105</v>
      </c>
      <c r="F38" s="22" t="n">
        <f aca="false">((($C$32-'Accretion-Dilution'!$E$13*(1-0.5))+$C$34+$C$33*1.5)/$C$35)/$C$11-1</f>
        <v>0.0235819695433812</v>
      </c>
      <c r="G38" s="22" t="n">
        <f aca="false">((($C$32-'Accretion-Dilution'!$E$13*(1-0.5))+$C$34+$C$33*2)/$C$35)/$C$11-1</f>
        <v>0.0076729477519335</v>
      </c>
    </row>
    <row r="39" customFormat="false" ht="15" hidden="false" customHeight="false" outlineLevel="0" collapsed="false">
      <c r="B39" s="46" t="n">
        <v>0.75</v>
      </c>
      <c r="C39" s="22" t="n">
        <f aca="false">((($C$32-'Accretion-Dilution'!$E$13*(1-0.75))+$C$34+$C$33*0.75)/$C$35)/$C$11-1</f>
        <v>0.0985816437030629</v>
      </c>
      <c r="D39" s="22" t="n">
        <f aca="false">((($C$32-'Accretion-Dilution'!$E$13*(1-0.75))+$C$34+$C$33*1)/$C$35)/$C$11-1</f>
        <v>0.0906271328073389</v>
      </c>
      <c r="E39" s="22" t="n">
        <f aca="false">((($C$32-'Accretion-Dilution'!$E$13*(1-0.75))+$C$34+$C$33*1.25)/$C$35)/$C$11-1</f>
        <v>0.0826726219116152</v>
      </c>
      <c r="F39" s="22" t="n">
        <f aca="false">((($C$32-'Accretion-Dilution'!$E$13*(1-0.75))+$C$34+$C$33*1.5)/$C$35)/$C$11-1</f>
        <v>0.0747181110158914</v>
      </c>
      <c r="G39" s="22" t="n">
        <f aca="false">((($C$32-'Accretion-Dilution'!$E$13*(1-0.75))+$C$34+$C$33*2)/$C$35)/$C$11-1</f>
        <v>0.0588090892244439</v>
      </c>
    </row>
    <row r="40" customFormat="false" ht="15" hidden="false" customHeight="false" outlineLevel="0" collapsed="false">
      <c r="B40" s="46" t="n">
        <v>1</v>
      </c>
      <c r="C40" s="22" t="n">
        <f aca="false">((($C$32-'Accretion-Dilution'!$E$13*(1-1))+$C$34+$C$33*0.75)/$C$35)/$C$11-1</f>
        <v>0.149717785175573</v>
      </c>
      <c r="D40" s="22" t="n">
        <f aca="false">((($C$32-'Accretion-Dilution'!$E$13*(1-1))+$C$34+$C$33*1)/$C$35)/$C$11-1</f>
        <v>0.141763274279849</v>
      </c>
      <c r="E40" s="47" t="n">
        <f aca="false">((($C$32-'Accretion-Dilution'!$E$13*(1-1))+$C$34+$C$33*1.25)/$C$35)/$C$11-1</f>
        <v>0.133808763384126</v>
      </c>
      <c r="F40" s="22" t="n">
        <f aca="false">((($C$32-'Accretion-Dilution'!$E$13*(1-1))+$C$34+$C$33*1.5)/$C$35)/$C$11-1</f>
        <v>0.125854252488402</v>
      </c>
      <c r="G40" s="22" t="n">
        <f aca="false">((($C$32-'Accretion-Dilution'!$E$13*(1-1))+$C$34+$C$33*2)/$C$35)/$C$11-1</f>
        <v>0.109945230696954</v>
      </c>
    </row>
    <row r="41" customFormat="false" ht="15" hidden="false" customHeight="false" outlineLevel="0" collapsed="false">
      <c r="B41" s="46" t="n">
        <v>1.1</v>
      </c>
      <c r="C41" s="22" t="n">
        <f aca="false">((($C$32-'Accretion-Dilution'!$E$13*(1-1.1))+$C$34+$C$33*0.75)/$C$35)/$C$11-1</f>
        <v>0.170172241764577</v>
      </c>
      <c r="D41" s="22" t="n">
        <f aca="false">((($C$32-'Accretion-Dilution'!$E$13*(1-1.1))+$C$34+$C$33*1)/$C$35)/$C$11-1</f>
        <v>0.162217730868854</v>
      </c>
      <c r="E41" s="22" t="n">
        <f aca="false">((($C$32-'Accretion-Dilution'!$E$13*(1-1.1))+$C$34+$C$33*1.25)/$C$35)/$C$11-1</f>
        <v>0.15426321997313</v>
      </c>
      <c r="F41" s="22" t="n">
        <f aca="false">((($C$32-'Accretion-Dilution'!$E$13*(1-1.1))+$C$34+$C$33*1.5)/$C$35)/$C$11-1</f>
        <v>0.146308709077406</v>
      </c>
      <c r="G41" s="22" t="n">
        <f aca="false">((($C$32-'Accretion-Dilution'!$E$13*(1-1.1))+$C$34+$C$33*2)/$C$35)/$C$11-1</f>
        <v>0.130399687285958</v>
      </c>
    </row>
    <row r="42" customFormat="false" ht="15" hidden="false" customHeight="false" outlineLevel="0" collapsed="false">
      <c r="B42" s="46" t="n">
        <v>1.25</v>
      </c>
      <c r="C42" s="22" t="n">
        <f aca="false">((($C$32-'Accretion-Dilution'!$E$13*(1-1.25))+$C$34+$C$33*0.75)/$C$35)/$C$11-1</f>
        <v>0.200853926648084</v>
      </c>
      <c r="D42" s="22" t="n">
        <f aca="false">((($C$32-'Accretion-Dilution'!$E$13*(1-1.25))+$C$34+$C$33*1)/$C$35)/$C$11-1</f>
        <v>0.19289941575236</v>
      </c>
      <c r="E42" s="22" t="n">
        <f aca="false">((($C$32-'Accretion-Dilution'!$E$13*(1-1.25))+$C$34+$C$33*1.25)/$C$35)/$C$11-1</f>
        <v>0.184944904856636</v>
      </c>
      <c r="F42" s="22" t="n">
        <f aca="false">((($C$32-'Accretion-Dilution'!$E$13*(1-1.25))+$C$34+$C$33*1.5)/$C$35)/$C$11-1</f>
        <v>0.176990393960912</v>
      </c>
      <c r="G42" s="22" t="n">
        <f aca="false">((($C$32-'Accretion-Dilution'!$E$13*(1-1.25))+$C$34+$C$33*2)/$C$35)/$C$11-1</f>
        <v>0.161081372169464</v>
      </c>
    </row>
    <row r="44" customFormat="false" ht="15" hidden="false" customHeight="false" outlineLevel="0" collapsed="false">
      <c r="B44" s="16" t="s">
        <v>287</v>
      </c>
    </row>
    <row r="45" customFormat="false" ht="15" hidden="false" customHeight="false" outlineLevel="0" collapsed="false">
      <c r="B45" s="16" t="s">
        <v>288</v>
      </c>
    </row>
  </sheetData>
  <mergeCells count="5">
    <mergeCell ref="B1:H2"/>
    <mergeCell ref="B3:H3"/>
    <mergeCell ref="B5:H5"/>
    <mergeCell ref="B14:H14"/>
    <mergeCell ref="B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1:D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18"/>
    <col collapsed="false" customWidth="true" hidden="false" outlineLevel="0" max="4" min="4" style="1" width="4"/>
    <col collapsed="false" customWidth="true" hidden="false" outlineLevel="0" max="5" min="5" style="1" width="46"/>
  </cols>
  <sheetData>
    <row r="1" customFormat="false" ht="25.5" hidden="false" customHeight="true" outlineLevel="0" collapsed="false">
      <c r="B1" s="2" t="s">
        <v>289</v>
      </c>
      <c r="C1" s="2"/>
      <c r="D1" s="2"/>
    </row>
    <row r="2" customFormat="false" ht="25.5" hidden="false" customHeight="true" outlineLevel="0" collapsed="false">
      <c r="B2" s="2"/>
      <c r="C2" s="2"/>
      <c r="D2" s="2"/>
    </row>
    <row r="3" customFormat="false" ht="15.75" hidden="false" customHeight="true" outlineLevel="0" collapsed="false">
      <c r="B3" s="3" t="s">
        <v>290</v>
      </c>
      <c r="C3" s="3"/>
      <c r="D3" s="3"/>
    </row>
    <row r="5" customFormat="false" ht="18" hidden="false" customHeight="true" outlineLevel="0" collapsed="false">
      <c r="B5" s="7" t="s">
        <v>291</v>
      </c>
      <c r="C5" s="7"/>
      <c r="D5" s="7"/>
    </row>
    <row r="6" customFormat="false" ht="15" hidden="false" customHeight="false" outlineLevel="0" collapsed="false">
      <c r="B6" s="14" t="s">
        <v>109</v>
      </c>
      <c r="C6" s="32" t="n">
        <f aca="false">'Key Assumptions'!$C$48</f>
        <v>47730</v>
      </c>
    </row>
    <row r="7" customFormat="false" ht="15" hidden="false" customHeight="false" outlineLevel="0" collapsed="false">
      <c r="B7" s="14" t="s">
        <v>292</v>
      </c>
      <c r="C7" s="32" t="n">
        <f aca="false">'Key Assumptions'!$C$19</f>
        <v>35300</v>
      </c>
    </row>
    <row r="8" customFormat="false" ht="15" hidden="false" customHeight="false" outlineLevel="0" collapsed="false">
      <c r="B8" s="14" t="s">
        <v>293</v>
      </c>
      <c r="C8" s="32" t="n">
        <f aca="false">-'Key Assumptions'!$C$52</f>
        <v>-7400</v>
      </c>
    </row>
    <row r="9" customFormat="false" ht="15" hidden="false" customHeight="false" outlineLevel="0" collapsed="false">
      <c r="B9" s="14" t="s">
        <v>294</v>
      </c>
      <c r="C9" s="32" t="n">
        <f aca="false">-'Key Assumptions'!$C$41*(1-'Key Assumptions'!$C$22)</f>
        <v>-6688</v>
      </c>
    </row>
    <row r="10" customFormat="false" ht="15" hidden="false" customHeight="false" outlineLevel="0" collapsed="false">
      <c r="B10" s="14" t="s">
        <v>295</v>
      </c>
      <c r="C10" s="32" t="n">
        <f aca="false">-'Synergy Build'!C17</f>
        <v>-1064</v>
      </c>
    </row>
    <row r="11" customFormat="false" ht="15" hidden="false" customHeight="false" outlineLevel="0" collapsed="false">
      <c r="B11" s="8" t="s">
        <v>296</v>
      </c>
      <c r="C11" s="23" t="n">
        <f aca="false">SUM(C6:C10)</f>
        <v>67878</v>
      </c>
    </row>
    <row r="13" customFormat="false" ht="15" hidden="false" customHeight="false" outlineLevel="0" collapsed="false">
      <c r="B13" s="14" t="s">
        <v>297</v>
      </c>
      <c r="C13" s="32" t="n">
        <f aca="false">'Key Assumptions'!$C$46</f>
        <v>370000</v>
      </c>
    </row>
    <row r="14" customFormat="false" ht="15" hidden="false" customHeight="false" outlineLevel="0" collapsed="false">
      <c r="B14" s="14" t="s">
        <v>298</v>
      </c>
      <c r="C14" s="32" t="n">
        <f aca="false">'Key Assumptions'!$C$49</f>
        <v>115000</v>
      </c>
    </row>
    <row r="15" customFormat="false" ht="15" hidden="false" customHeight="false" outlineLevel="0" collapsed="false">
      <c r="B15" s="8" t="s">
        <v>299</v>
      </c>
      <c r="C15" s="23" t="n">
        <f aca="false">SUM(C13:C14)</f>
        <v>485000</v>
      </c>
    </row>
    <row r="17" customFormat="false" ht="15" hidden="false" customHeight="false" outlineLevel="0" collapsed="false">
      <c r="B17" s="8" t="s">
        <v>300</v>
      </c>
      <c r="C17" s="19" t="n">
        <f aca="false">C11/C15</f>
        <v>0.139954639175258</v>
      </c>
    </row>
    <row r="18" customFormat="false" ht="15" hidden="false" customHeight="false" outlineLevel="0" collapsed="false">
      <c r="B18" s="14" t="s">
        <v>301</v>
      </c>
      <c r="C18" s="49" t="n">
        <f aca="false">'Key Assumptions'!$C$78</f>
        <v>0.14</v>
      </c>
    </row>
    <row r="19" customFormat="false" ht="15" hidden="false" customHeight="false" outlineLevel="0" collapsed="false">
      <c r="B19" s="14" t="s">
        <v>302</v>
      </c>
      <c r="C19" s="22" t="n">
        <f aca="false">C17-C18</f>
        <v>-4.53608247422688E-005</v>
      </c>
    </row>
    <row r="21" customFormat="false" ht="18" hidden="false" customHeight="true" outlineLevel="0" collapsed="false">
      <c r="B21" s="7" t="s">
        <v>303</v>
      </c>
      <c r="C21" s="7"/>
      <c r="D21" s="7"/>
    </row>
    <row r="22" customFormat="false" ht="15" hidden="false" customHeight="false" outlineLevel="0" collapsed="false">
      <c r="B22" s="14" t="s">
        <v>304</v>
      </c>
      <c r="C22" s="32" t="n">
        <f aca="false">'Key Assumptions'!$C$66</f>
        <v>51793</v>
      </c>
    </row>
    <row r="23" customFormat="false" ht="15" hidden="false" customHeight="false" outlineLevel="0" collapsed="false">
      <c r="B23" s="14" t="s">
        <v>305</v>
      </c>
      <c r="C23" s="24" t="n">
        <v>13778</v>
      </c>
    </row>
    <row r="24" customFormat="false" ht="15" hidden="false" customHeight="false" outlineLevel="0" collapsed="false">
      <c r="B24" s="14" t="s">
        <v>306</v>
      </c>
      <c r="C24" s="24" t="n">
        <v>17610</v>
      </c>
    </row>
    <row r="25" customFormat="false" ht="15" hidden="false" customHeight="false" outlineLevel="0" collapsed="false">
      <c r="B25" s="14" t="s">
        <v>307</v>
      </c>
      <c r="C25" s="29" t="n">
        <v>0.135</v>
      </c>
    </row>
    <row r="26" customFormat="false" ht="15" hidden="false" customHeight="false" outlineLevel="0" collapsed="false">
      <c r="B26" s="14" t="s">
        <v>308</v>
      </c>
      <c r="C26" s="29" t="n">
        <v>0.14</v>
      </c>
    </row>
    <row r="27" customFormat="false" ht="15" hidden="false" customHeight="false" outlineLevel="0" collapsed="false">
      <c r="B27" s="8" t="s">
        <v>309</v>
      </c>
      <c r="C27" s="50" t="n">
        <f aca="false">C26-C25</f>
        <v>0.005</v>
      </c>
    </row>
    <row r="29" customFormat="false" ht="15" hidden="false" customHeight="false" outlineLevel="0" collapsed="false">
      <c r="B29" s="16" t="s">
        <v>310</v>
      </c>
    </row>
    <row r="30" customFormat="false" ht="15" hidden="false" customHeight="false" outlineLevel="0" collapsed="false">
      <c r="B30" s="16" t="s">
        <v>311</v>
      </c>
    </row>
    <row r="31" customFormat="false" ht="15" hidden="false" customHeight="false" outlineLevel="0" collapsed="false">
      <c r="B31" s="16" t="s">
        <v>312</v>
      </c>
    </row>
    <row r="32" customFormat="false" ht="15" hidden="false" customHeight="false" outlineLevel="0" collapsed="false">
      <c r="B32" s="16" t="s">
        <v>313</v>
      </c>
    </row>
    <row r="33" customFormat="false" ht="15" hidden="false" customHeight="false" outlineLevel="0" collapsed="false">
      <c r="B33" s="16" t="s">
        <v>314</v>
      </c>
    </row>
    <row r="35" customFormat="false" ht="18" hidden="false" customHeight="true" outlineLevel="0" collapsed="false">
      <c r="B35" s="7" t="s">
        <v>315</v>
      </c>
      <c r="C35" s="7"/>
      <c r="D35" s="7"/>
    </row>
    <row r="36" customFormat="false" ht="15" hidden="false" customHeight="false" outlineLevel="0" collapsed="false">
      <c r="B36" s="51" t="s">
        <v>316</v>
      </c>
      <c r="C36" s="51"/>
      <c r="D36" s="51"/>
    </row>
    <row r="37" customFormat="false" ht="15" hidden="false" customHeight="false" outlineLevel="0" collapsed="false">
      <c r="B37" s="51" t="s">
        <v>317</v>
      </c>
      <c r="C37" s="51"/>
      <c r="D37" s="51"/>
    </row>
    <row r="38" customFormat="false" ht="15" hidden="false" customHeight="false" outlineLevel="0" collapsed="false">
      <c r="B38" s="51" t="s">
        <v>318</v>
      </c>
      <c r="C38" s="51"/>
      <c r="D38" s="51"/>
    </row>
    <row r="39" customFormat="false" ht="15" hidden="false" customHeight="false" outlineLevel="0" collapsed="false">
      <c r="B39" s="51" t="s">
        <v>319</v>
      </c>
      <c r="C39" s="51"/>
      <c r="D39" s="51"/>
    </row>
    <row r="40" customFormat="false" ht="15" hidden="false" customHeight="false" outlineLevel="0" collapsed="false">
      <c r="B40" s="51" t="s">
        <v>320</v>
      </c>
      <c r="C40" s="51"/>
      <c r="D40" s="51"/>
    </row>
    <row r="41" customFormat="false" ht="15" hidden="false" customHeight="false" outlineLevel="0" collapsed="false">
      <c r="B41" s="51" t="s">
        <v>321</v>
      </c>
      <c r="C41" s="51"/>
      <c r="D41" s="51"/>
    </row>
    <row r="42" customFormat="false" ht="15" hidden="false" customHeight="false" outlineLevel="0" collapsed="false">
      <c r="B42" s="51" t="s">
        <v>322</v>
      </c>
      <c r="C42" s="51"/>
      <c r="D42" s="51"/>
    </row>
  </sheetData>
  <mergeCells count="12">
    <mergeCell ref="B1:D2"/>
    <mergeCell ref="B3:D3"/>
    <mergeCell ref="B5:D5"/>
    <mergeCell ref="B21:D21"/>
    <mergeCell ref="B35:D35"/>
    <mergeCell ref="B36:D36"/>
    <mergeCell ref="B37:D37"/>
    <mergeCell ref="B38:D38"/>
    <mergeCell ref="B39:D39"/>
    <mergeCell ref="B40:D40"/>
    <mergeCell ref="B41:D41"/>
    <mergeCell ref="B42:D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40"/>
    <col collapsed="false" customWidth="true" hidden="false" outlineLevel="0" max="4" min="4" style="1" width="10"/>
    <col collapsed="false" customWidth="true" hidden="false" outlineLevel="0" max="6" min="5" style="1" width="8"/>
    <col collapsed="false" customWidth="true" hidden="false" outlineLevel="0" max="7" min="7" style="1" width="9"/>
    <col collapsed="false" customWidth="true" hidden="false" outlineLevel="0" max="8" min="8" style="1" width="44"/>
  </cols>
  <sheetData>
    <row r="1" customFormat="false" ht="25.5" hidden="false" customHeight="true" outlineLevel="0" collapsed="false">
      <c r="B1" s="2" t="s">
        <v>323</v>
      </c>
      <c r="C1" s="2"/>
      <c r="D1" s="2"/>
      <c r="E1" s="2"/>
      <c r="F1" s="2"/>
      <c r="G1" s="2"/>
    </row>
    <row r="2" customFormat="false" ht="25.5" hidden="false" customHeight="true" outlineLevel="0" collapsed="false">
      <c r="B2" s="2"/>
      <c r="C2" s="2"/>
      <c r="D2" s="2"/>
      <c r="E2" s="2"/>
      <c r="F2" s="2"/>
      <c r="G2" s="2"/>
    </row>
    <row r="3" customFormat="false" ht="15.75" hidden="false" customHeight="true" outlineLevel="0" collapsed="false">
      <c r="B3" s="3" t="s">
        <v>324</v>
      </c>
      <c r="C3" s="3"/>
      <c r="D3" s="3"/>
      <c r="E3" s="3"/>
      <c r="F3" s="3"/>
      <c r="G3" s="3"/>
    </row>
    <row r="5" customFormat="false" ht="18" hidden="false" customHeight="true" outlineLevel="0" collapsed="false">
      <c r="B5" s="7" t="s">
        <v>325</v>
      </c>
      <c r="C5" s="7"/>
      <c r="D5" s="7"/>
      <c r="E5" s="7"/>
      <c r="F5" s="7"/>
      <c r="G5" s="7"/>
      <c r="H5" s="7"/>
    </row>
    <row r="6" customFormat="false" ht="30" hidden="false" customHeight="true" outlineLevel="0" collapsed="false">
      <c r="B6" s="52" t="s">
        <v>326</v>
      </c>
      <c r="C6" s="52" t="s">
        <v>327</v>
      </c>
      <c r="D6" s="52" t="s">
        <v>328</v>
      </c>
      <c r="E6" s="52" t="s">
        <v>329</v>
      </c>
      <c r="F6" s="52" t="s">
        <v>330</v>
      </c>
      <c r="G6" s="52" t="s">
        <v>331</v>
      </c>
      <c r="H6" s="52" t="s">
        <v>332</v>
      </c>
    </row>
    <row r="7" customFormat="false" ht="57.75" hidden="false" customHeight="true" outlineLevel="0" collapsed="false">
      <c r="B7" s="53" t="s">
        <v>333</v>
      </c>
      <c r="C7" s="54" t="s">
        <v>334</v>
      </c>
      <c r="D7" s="55" t="n">
        <v>3</v>
      </c>
      <c r="E7" s="55" t="n">
        <v>4</v>
      </c>
      <c r="F7" s="56" t="n">
        <f aca="false">D7*E7</f>
        <v>12</v>
      </c>
      <c r="G7" s="57" t="s">
        <v>335</v>
      </c>
      <c r="H7" s="54" t="s">
        <v>336</v>
      </c>
    </row>
    <row r="8" customFormat="false" ht="57.75" hidden="false" customHeight="true" outlineLevel="0" collapsed="false">
      <c r="B8" s="53" t="s">
        <v>337</v>
      </c>
      <c r="C8" s="54" t="s">
        <v>338</v>
      </c>
      <c r="D8" s="55" t="n">
        <v>3</v>
      </c>
      <c r="E8" s="55" t="n">
        <v>5</v>
      </c>
      <c r="F8" s="56" t="n">
        <f aca="false">D8*E8</f>
        <v>15</v>
      </c>
      <c r="G8" s="57" t="s">
        <v>339</v>
      </c>
      <c r="H8" s="54" t="s">
        <v>340</v>
      </c>
    </row>
    <row r="9" customFormat="false" ht="57.75" hidden="false" customHeight="true" outlineLevel="0" collapsed="false">
      <c r="B9" s="53" t="s">
        <v>341</v>
      </c>
      <c r="C9" s="54" t="s">
        <v>342</v>
      </c>
      <c r="D9" s="55" t="n">
        <v>4</v>
      </c>
      <c r="E9" s="55" t="n">
        <v>2</v>
      </c>
      <c r="F9" s="56" t="n">
        <f aca="false">D9*E9</f>
        <v>8</v>
      </c>
      <c r="G9" s="57" t="s">
        <v>343</v>
      </c>
      <c r="H9" s="54" t="s">
        <v>344</v>
      </c>
    </row>
    <row r="10" customFormat="false" ht="57.75" hidden="false" customHeight="true" outlineLevel="0" collapsed="false">
      <c r="B10" s="53" t="s">
        <v>345</v>
      </c>
      <c r="C10" s="54" t="s">
        <v>346</v>
      </c>
      <c r="D10" s="55" t="n">
        <v>3</v>
      </c>
      <c r="E10" s="55" t="n">
        <v>2</v>
      </c>
      <c r="F10" s="56" t="n">
        <f aca="false">D10*E10</f>
        <v>6</v>
      </c>
      <c r="G10" s="57" t="s">
        <v>347</v>
      </c>
      <c r="H10" s="54" t="s">
        <v>348</v>
      </c>
    </row>
    <row r="11" customFormat="false" ht="57.75" hidden="false" customHeight="true" outlineLevel="0" collapsed="false">
      <c r="B11" s="53" t="s">
        <v>349</v>
      </c>
      <c r="C11" s="54" t="s">
        <v>350</v>
      </c>
      <c r="D11" s="55" t="n">
        <v>3</v>
      </c>
      <c r="E11" s="55" t="n">
        <v>3</v>
      </c>
      <c r="F11" s="56" t="n">
        <f aca="false">D11*E11</f>
        <v>9</v>
      </c>
      <c r="G11" s="57" t="s">
        <v>351</v>
      </c>
      <c r="H11" s="54" t="s">
        <v>352</v>
      </c>
    </row>
    <row r="12" customFormat="false" ht="57.75" hidden="false" customHeight="true" outlineLevel="0" collapsed="false">
      <c r="B12" s="53" t="s">
        <v>353</v>
      </c>
      <c r="C12" s="54" t="s">
        <v>354</v>
      </c>
      <c r="D12" s="55" t="n">
        <v>4</v>
      </c>
      <c r="E12" s="55" t="n">
        <v>4</v>
      </c>
      <c r="F12" s="56" t="n">
        <f aca="false">D12*E12</f>
        <v>16</v>
      </c>
      <c r="G12" s="57" t="s">
        <v>355</v>
      </c>
      <c r="H12" s="54" t="s">
        <v>356</v>
      </c>
    </row>
    <row r="13" customFormat="false" ht="57.75" hidden="false" customHeight="true" outlineLevel="0" collapsed="false">
      <c r="B13" s="53" t="s">
        <v>357</v>
      </c>
      <c r="C13" s="54" t="s">
        <v>358</v>
      </c>
      <c r="D13" s="55" t="n">
        <v>3</v>
      </c>
      <c r="E13" s="55" t="n">
        <v>4</v>
      </c>
      <c r="F13" s="56" t="n">
        <f aca="false">D13*E13</f>
        <v>12</v>
      </c>
      <c r="G13" s="57" t="s">
        <v>359</v>
      </c>
      <c r="H13" s="54" t="s">
        <v>360</v>
      </c>
    </row>
    <row r="14" customFormat="false" ht="57.75" hidden="false" customHeight="true" outlineLevel="0" collapsed="false">
      <c r="B14" s="53" t="s">
        <v>361</v>
      </c>
      <c r="C14" s="54" t="s">
        <v>362</v>
      </c>
      <c r="D14" s="55" t="n">
        <v>3</v>
      </c>
      <c r="E14" s="55" t="n">
        <v>3</v>
      </c>
      <c r="F14" s="56" t="n">
        <f aca="false">D14*E14</f>
        <v>9</v>
      </c>
      <c r="G14" s="57" t="s">
        <v>363</v>
      </c>
      <c r="H14" s="54" t="s">
        <v>364</v>
      </c>
    </row>
    <row r="15" customFormat="false" ht="57.75" hidden="false" customHeight="true" outlineLevel="0" collapsed="false">
      <c r="B15" s="53" t="s">
        <v>365</v>
      </c>
      <c r="C15" s="54" t="s">
        <v>366</v>
      </c>
      <c r="D15" s="55" t="n">
        <v>3</v>
      </c>
      <c r="E15" s="55" t="n">
        <v>3</v>
      </c>
      <c r="F15" s="56" t="n">
        <f aca="false">D15*E15</f>
        <v>9</v>
      </c>
      <c r="G15" s="57" t="s">
        <v>367</v>
      </c>
      <c r="H15" s="54" t="s">
        <v>368</v>
      </c>
    </row>
    <row r="16" customFormat="false" ht="57.75" hidden="false" customHeight="true" outlineLevel="0" collapsed="false">
      <c r="B16" s="53" t="s">
        <v>369</v>
      </c>
      <c r="C16" s="54" t="s">
        <v>370</v>
      </c>
      <c r="D16" s="55" t="n">
        <v>3</v>
      </c>
      <c r="E16" s="55" t="n">
        <v>2</v>
      </c>
      <c r="F16" s="56" t="n">
        <f aca="false">D16*E16</f>
        <v>6</v>
      </c>
      <c r="G16" s="57" t="s">
        <v>371</v>
      </c>
      <c r="H16" s="54" t="s">
        <v>372</v>
      </c>
    </row>
    <row r="18" customFormat="false" ht="18" hidden="false" customHeight="true" outlineLevel="0" collapsed="false">
      <c r="B18" s="7" t="s">
        <v>373</v>
      </c>
      <c r="C18" s="7"/>
      <c r="D18" s="7"/>
      <c r="E18" s="7"/>
      <c r="F18" s="7"/>
      <c r="G18" s="7"/>
      <c r="H18" s="7"/>
    </row>
    <row r="19" customFormat="false" ht="15" hidden="false" customHeight="false" outlineLevel="0" collapsed="false">
      <c r="B19" s="8" t="s">
        <v>374</v>
      </c>
      <c r="C19" s="9" t="s">
        <v>375</v>
      </c>
      <c r="D19" s="9"/>
      <c r="E19" s="9"/>
      <c r="F19" s="58" t="s">
        <v>376</v>
      </c>
      <c r="G19" s="58"/>
      <c r="H19" s="58"/>
    </row>
    <row r="20" customFormat="false" ht="15" hidden="false" customHeight="false" outlineLevel="0" collapsed="false">
      <c r="B20" s="8" t="s">
        <v>377</v>
      </c>
      <c r="C20" s="9" t="s">
        <v>378</v>
      </c>
      <c r="D20" s="9"/>
      <c r="E20" s="9"/>
      <c r="F20" s="58" t="s">
        <v>379</v>
      </c>
      <c r="G20" s="58"/>
      <c r="H20" s="58"/>
    </row>
    <row r="21" customFormat="false" ht="15" hidden="false" customHeight="false" outlineLevel="0" collapsed="false">
      <c r="B21" s="8" t="s">
        <v>380</v>
      </c>
      <c r="C21" s="9" t="s">
        <v>381</v>
      </c>
      <c r="D21" s="9"/>
      <c r="E21" s="9"/>
      <c r="F21" s="58" t="s">
        <v>382</v>
      </c>
      <c r="G21" s="58"/>
      <c r="H21" s="58"/>
    </row>
    <row r="22" customFormat="false" ht="15" hidden="false" customHeight="false" outlineLevel="0" collapsed="false">
      <c r="B22" s="8" t="s">
        <v>383</v>
      </c>
      <c r="C22" s="9" t="s">
        <v>384</v>
      </c>
      <c r="D22" s="9"/>
      <c r="E22" s="9"/>
      <c r="F22" s="58" t="s">
        <v>385</v>
      </c>
      <c r="G22" s="58"/>
      <c r="H22" s="58"/>
    </row>
    <row r="23" customFormat="false" ht="15" hidden="false" customHeight="false" outlineLevel="0" collapsed="false">
      <c r="B23" s="8" t="s">
        <v>386</v>
      </c>
      <c r="C23" s="9" t="s">
        <v>387</v>
      </c>
      <c r="D23" s="9"/>
      <c r="E23" s="9"/>
      <c r="F23" s="58" t="s">
        <v>388</v>
      </c>
      <c r="G23" s="58"/>
      <c r="H23" s="58"/>
    </row>
    <row r="24" customFormat="false" ht="15" hidden="false" customHeight="false" outlineLevel="0" collapsed="false">
      <c r="B24" s="8" t="s">
        <v>389</v>
      </c>
      <c r="C24" s="9" t="s">
        <v>390</v>
      </c>
      <c r="D24" s="9"/>
      <c r="E24" s="9"/>
      <c r="F24" s="58" t="s">
        <v>391</v>
      </c>
      <c r="G24" s="58"/>
      <c r="H24" s="58"/>
    </row>
    <row r="26" customFormat="false" ht="18" hidden="false" customHeight="true" outlineLevel="0" collapsed="false">
      <c r="B26" s="7" t="s">
        <v>392</v>
      </c>
      <c r="C26" s="7"/>
      <c r="D26" s="7"/>
      <c r="E26" s="7"/>
      <c r="F26" s="7"/>
      <c r="G26" s="7"/>
      <c r="H26" s="7"/>
    </row>
    <row r="27" customFormat="false" ht="15" hidden="false" customHeight="true" outlineLevel="0" collapsed="false">
      <c r="B27" s="59" t="s">
        <v>393</v>
      </c>
      <c r="C27" s="59"/>
      <c r="D27" s="59"/>
      <c r="E27" s="59"/>
      <c r="F27" s="59"/>
      <c r="G27" s="59"/>
      <c r="H27" s="59"/>
    </row>
    <row r="28" customFormat="false" ht="15" hidden="false" customHeight="false" outlineLevel="0" collapsed="false">
      <c r="B28" s="59"/>
      <c r="C28" s="59"/>
      <c r="D28" s="59"/>
      <c r="E28" s="59"/>
      <c r="F28" s="59"/>
      <c r="G28" s="59"/>
      <c r="H28" s="59"/>
    </row>
    <row r="29" customFormat="false" ht="15" hidden="false" customHeight="false" outlineLevel="0" collapsed="false">
      <c r="B29" s="59"/>
      <c r="C29" s="59"/>
      <c r="D29" s="59"/>
      <c r="E29" s="59"/>
      <c r="F29" s="59"/>
      <c r="G29" s="59"/>
      <c r="H29" s="59"/>
    </row>
    <row r="30" customFormat="false" ht="15" hidden="false" customHeight="false" outlineLevel="0" collapsed="false">
      <c r="B30" s="59"/>
      <c r="C30" s="59"/>
      <c r="D30" s="59"/>
      <c r="E30" s="59"/>
      <c r="F30" s="59"/>
      <c r="G30" s="59"/>
      <c r="H30" s="59"/>
    </row>
  </sheetData>
  <mergeCells count="18">
    <mergeCell ref="B1:G2"/>
    <mergeCell ref="B3:G3"/>
    <mergeCell ref="B5:H5"/>
    <mergeCell ref="B18:H18"/>
    <mergeCell ref="C19:E19"/>
    <mergeCell ref="F19:H19"/>
    <mergeCell ref="C20:E20"/>
    <mergeCell ref="F20:H20"/>
    <mergeCell ref="C21:E21"/>
    <mergeCell ref="F21:H21"/>
    <mergeCell ref="C22:E22"/>
    <mergeCell ref="F22:H22"/>
    <mergeCell ref="C23:E23"/>
    <mergeCell ref="F23:H23"/>
    <mergeCell ref="C24:E24"/>
    <mergeCell ref="F24:H24"/>
    <mergeCell ref="B26:H26"/>
    <mergeCell ref="B27:H30"/>
  </mergeCells>
  <conditionalFormatting sqref="F7:F16">
    <cfRule type="colorScale" priority="2">
      <colorScale>
        <cfvo type="min" val="0"/>
        <cfvo type="percentile" val="50"/>
        <cfvo type="max" val="0"/>
        <color rgb="FFC6E0B4"/>
        <color rgb="FFFFE699"/>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4" min="3" style="1" width="20"/>
    <col collapsed="false" customWidth="true" hidden="false" outlineLevel="0" max="5" min="5" style="1" width="14"/>
    <col collapsed="false" customWidth="true" hidden="false" outlineLevel="0" max="6" min="6" style="1" width="16"/>
    <col collapsed="false" customWidth="true" hidden="false" outlineLevel="0" max="8" min="7" style="1" width="14"/>
    <col collapsed="false" customWidth="true" hidden="false" outlineLevel="0" max="9" min="9" style="1" width="46"/>
  </cols>
  <sheetData>
    <row r="1" customFormat="false" ht="25.5" hidden="false" customHeight="true" outlineLevel="0" collapsed="false">
      <c r="B1" s="2" t="s">
        <v>394</v>
      </c>
      <c r="C1" s="2"/>
      <c r="D1" s="2"/>
      <c r="E1" s="2"/>
      <c r="F1" s="2"/>
      <c r="G1" s="2"/>
      <c r="H1" s="2"/>
    </row>
    <row r="2" customFormat="false" ht="25.5" hidden="false" customHeight="true" outlineLevel="0" collapsed="false">
      <c r="B2" s="2"/>
      <c r="C2" s="2"/>
      <c r="D2" s="2"/>
      <c r="E2" s="2"/>
      <c r="F2" s="2"/>
      <c r="G2" s="2"/>
      <c r="H2" s="2"/>
    </row>
    <row r="3" customFormat="false" ht="15.75" hidden="false" customHeight="true" outlineLevel="0" collapsed="false">
      <c r="B3" s="3" t="s">
        <v>395</v>
      </c>
      <c r="C3" s="3"/>
      <c r="D3" s="3"/>
      <c r="E3" s="3"/>
      <c r="F3" s="3"/>
      <c r="G3" s="3"/>
      <c r="H3" s="3"/>
    </row>
    <row r="5" customFormat="false" ht="27.75" hidden="false" customHeight="true" outlineLevel="0" collapsed="false">
      <c r="B5" s="52" t="s">
        <v>396</v>
      </c>
      <c r="C5" s="52" t="s">
        <v>177</v>
      </c>
      <c r="D5" s="52" t="s">
        <v>179</v>
      </c>
      <c r="E5" s="52" t="s">
        <v>397</v>
      </c>
      <c r="F5" s="52" t="s">
        <v>189</v>
      </c>
      <c r="G5" s="52" t="s">
        <v>398</v>
      </c>
      <c r="H5" s="52" t="s">
        <v>399</v>
      </c>
      <c r="I5" s="52" t="s">
        <v>400</v>
      </c>
    </row>
    <row r="6" customFormat="false" ht="57.75" hidden="false" customHeight="true" outlineLevel="0" collapsed="false">
      <c r="B6" s="54" t="s">
        <v>401</v>
      </c>
      <c r="C6" s="60" t="s">
        <v>402</v>
      </c>
      <c r="D6" s="54" t="s">
        <v>403</v>
      </c>
      <c r="E6" s="54" t="s">
        <v>404</v>
      </c>
      <c r="F6" s="54" t="s">
        <v>405</v>
      </c>
      <c r="G6" s="54" t="s">
        <v>406</v>
      </c>
      <c r="H6" s="54" t="s">
        <v>407</v>
      </c>
      <c r="I6" s="54" t="s">
        <v>408</v>
      </c>
    </row>
    <row r="7" customFormat="false" ht="57.75" hidden="false" customHeight="true" outlineLevel="0" collapsed="false">
      <c r="B7" s="54" t="s">
        <v>409</v>
      </c>
      <c r="C7" s="60" t="s">
        <v>410</v>
      </c>
      <c r="D7" s="54" t="s">
        <v>411</v>
      </c>
      <c r="E7" s="54" t="s">
        <v>412</v>
      </c>
      <c r="F7" s="54" t="s">
        <v>413</v>
      </c>
      <c r="G7" s="54" t="s">
        <v>414</v>
      </c>
      <c r="H7" s="54" t="s">
        <v>415</v>
      </c>
      <c r="I7" s="54" t="s">
        <v>416</v>
      </c>
    </row>
    <row r="8" customFormat="false" ht="57.75" hidden="false" customHeight="true" outlineLevel="0" collapsed="false">
      <c r="B8" s="54" t="s">
        <v>417</v>
      </c>
      <c r="C8" s="60" t="s">
        <v>418</v>
      </c>
      <c r="D8" s="54" t="s">
        <v>419</v>
      </c>
      <c r="E8" s="54" t="s">
        <v>420</v>
      </c>
      <c r="F8" s="54" t="s">
        <v>421</v>
      </c>
      <c r="G8" s="54" t="s">
        <v>422</v>
      </c>
      <c r="H8" s="54" t="s">
        <v>423</v>
      </c>
      <c r="I8" s="54" t="s">
        <v>424</v>
      </c>
    </row>
    <row r="9" customFormat="false" ht="57.75" hidden="false" customHeight="true" outlineLevel="0" collapsed="false">
      <c r="B9" s="54" t="s">
        <v>425</v>
      </c>
      <c r="C9" s="60" t="s">
        <v>426</v>
      </c>
      <c r="D9" s="54" t="s">
        <v>427</v>
      </c>
      <c r="E9" s="54" t="s">
        <v>428</v>
      </c>
      <c r="F9" s="54" t="s">
        <v>429</v>
      </c>
      <c r="G9" s="54" t="s">
        <v>430</v>
      </c>
      <c r="H9" s="54" t="s">
        <v>431</v>
      </c>
      <c r="I9" s="54" t="s">
        <v>432</v>
      </c>
    </row>
    <row r="11" customFormat="false" ht="18" hidden="false" customHeight="true" outlineLevel="0" collapsed="false">
      <c r="B11" s="7" t="s">
        <v>433</v>
      </c>
      <c r="C11" s="7"/>
      <c r="D11" s="7"/>
      <c r="E11" s="7"/>
      <c r="F11" s="7"/>
      <c r="G11" s="7"/>
      <c r="H11" s="7"/>
    </row>
    <row r="12" customFormat="false" ht="15" hidden="false" customHeight="false" outlineLevel="0" collapsed="false">
      <c r="B12" s="51" t="s">
        <v>434</v>
      </c>
      <c r="C12" s="51"/>
      <c r="D12" s="51"/>
      <c r="E12" s="51"/>
      <c r="F12" s="51"/>
      <c r="G12" s="51"/>
      <c r="H12" s="51"/>
    </row>
    <row r="13" customFormat="false" ht="15" hidden="false" customHeight="false" outlineLevel="0" collapsed="false">
      <c r="B13" s="51" t="s">
        <v>435</v>
      </c>
      <c r="C13" s="51"/>
      <c r="D13" s="51"/>
      <c r="E13" s="51"/>
      <c r="F13" s="51"/>
      <c r="G13" s="51"/>
      <c r="H13" s="51"/>
    </row>
    <row r="14" customFormat="false" ht="15" hidden="false" customHeight="false" outlineLevel="0" collapsed="false">
      <c r="B14" s="51" t="s">
        <v>436</v>
      </c>
      <c r="C14" s="51"/>
      <c r="D14" s="51"/>
      <c r="E14" s="51"/>
      <c r="F14" s="51"/>
      <c r="G14" s="51"/>
      <c r="H14" s="51"/>
    </row>
    <row r="15" customFormat="false" ht="15" hidden="false" customHeight="false" outlineLevel="0" collapsed="false">
      <c r="B15" s="51"/>
      <c r="C15" s="51"/>
      <c r="D15" s="51"/>
      <c r="E15" s="51"/>
      <c r="F15" s="51"/>
      <c r="G15" s="51"/>
      <c r="H15" s="51"/>
    </row>
    <row r="16" customFormat="false" ht="15" hidden="false" customHeight="false" outlineLevel="0" collapsed="false">
      <c r="B16" s="51" t="s">
        <v>437</v>
      </c>
      <c r="C16" s="51"/>
      <c r="D16" s="51"/>
      <c r="E16" s="51"/>
      <c r="F16" s="51"/>
      <c r="G16" s="51"/>
      <c r="H16" s="51"/>
    </row>
    <row r="17" customFormat="false" ht="15" hidden="false" customHeight="false" outlineLevel="0" collapsed="false">
      <c r="B17" s="51" t="s">
        <v>438</v>
      </c>
      <c r="C17" s="51"/>
      <c r="D17" s="51"/>
      <c r="E17" s="51"/>
      <c r="F17" s="51"/>
      <c r="G17" s="51"/>
      <c r="H17" s="51"/>
    </row>
    <row r="18" customFormat="false" ht="15" hidden="false" customHeight="false" outlineLevel="0" collapsed="false">
      <c r="B18" s="51"/>
      <c r="C18" s="51"/>
      <c r="D18" s="51"/>
      <c r="E18" s="51"/>
      <c r="F18" s="51"/>
      <c r="G18" s="51"/>
      <c r="H18" s="51"/>
    </row>
    <row r="19" customFormat="false" ht="15" hidden="false" customHeight="false" outlineLevel="0" collapsed="false">
      <c r="B19" s="51" t="s">
        <v>439</v>
      </c>
      <c r="C19" s="51"/>
      <c r="D19" s="51"/>
      <c r="E19" s="51"/>
      <c r="F19" s="51"/>
      <c r="G19" s="51"/>
      <c r="H19" s="51"/>
    </row>
    <row r="20" customFormat="false" ht="15" hidden="false" customHeight="false" outlineLevel="0" collapsed="false">
      <c r="B20" s="51" t="s">
        <v>440</v>
      </c>
      <c r="C20" s="51"/>
      <c r="D20" s="51"/>
      <c r="E20" s="51"/>
      <c r="F20" s="51"/>
      <c r="G20" s="51"/>
      <c r="H20" s="51"/>
    </row>
    <row r="21" customFormat="false" ht="15" hidden="false" customHeight="false" outlineLevel="0" collapsed="false">
      <c r="B21" s="51" t="s">
        <v>441</v>
      </c>
      <c r="C21" s="51"/>
      <c r="D21" s="51"/>
      <c r="E21" s="51"/>
      <c r="F21" s="51"/>
      <c r="G21" s="51"/>
      <c r="H21" s="51"/>
    </row>
  </sheetData>
  <mergeCells count="13">
    <mergeCell ref="B1:H2"/>
    <mergeCell ref="B3:H3"/>
    <mergeCell ref="B11:H11"/>
    <mergeCell ref="B12:H12"/>
    <mergeCell ref="B13:H13"/>
    <mergeCell ref="B14:H14"/>
    <mergeCell ref="B15:H15"/>
    <mergeCell ref="B16:H16"/>
    <mergeCell ref="B17:H17"/>
    <mergeCell ref="B18:H18"/>
    <mergeCell ref="B19:H19"/>
    <mergeCell ref="B20:H20"/>
    <mergeCell ref="B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2026-09-10T20:02:08Z</dcterms:created>
  <dc:creator>openpyxl</dc:creator>
  <dc:description/>
  <dc:language>en-US</dc:language>
  <cp:lastModifiedBy/>
  <dcterms:modified xsi:type="dcterms:W3CDTF">2026-09-10T20:03:21Z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