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Income Statement" sheetId="3" state="visible" r:id="rId5"/>
    <sheet name="Balance Sheet" sheetId="4" state="visible" r:id="rId6"/>
    <sheet name="Cash Flow Statement" sheetId="5" state="visible" r:id="rId7"/>
    <sheet name="DCF Valuation" sheetId="6" state="visible" r:id="rId8"/>
    <sheet name="Comps - Revenue Multiples" sheetId="7" state="visible" r:id="rId9"/>
    <sheet name="Re-Rating Bridge" sheetId="8" state="visible" r:id="rId10"/>
    <sheet name="Stress Testing" sheetId="9" state="visible" r:id="rId11"/>
    <sheet name="Football Field" sheetId="10" state="visible" r:id="rId12"/>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FY21/FY22: rough estimates of GAAP-basis operating result (Klarna Holding AB Annual Report 2022 discloses FY21 operating result of -SEK 5.2bn and FY22 of -SEK 7.8bn); not confirmed on the same non-GAAP "Adjusted Operating Profit" basis as FY23-25 below, since that metric was not consistently disclosed pre-IPO.</t>
        </r>
      </text>
    </comment>
    <comment ref="C6" authorId="0">
      <text>
        <r>
          <rPr>
            <sz val="10"/>
            <rFont val="Arial"/>
            <family val="2"/>
          </rPr>
          <t xml:space="preserve">FY21: Klarna FY2021 results press release, USD 80.3bn GMV (klarna.com, 28-Feb-2022).</t>
        </r>
      </text>
    </comment>
    <comment ref="C7" authorId="0">
      <text>
        <r>
          <rPr>
            <sz val="10"/>
            <rFont val="Arial"/>
            <family val="2"/>
          </rPr>
          <t xml:space="preserve">FY21: SEK 15.9bn per Klarna Holding AB Annual Report 2022 (FY21 comparative); translated at ~8.6 SEK/USD.</t>
        </r>
      </text>
    </comment>
    <comment ref="C13" authorId="0">
      <text>
        <r>
          <rPr>
            <sz val="10"/>
            <rFont val="Arial"/>
            <family val="2"/>
          </rPr>
          <t xml:space="preserve">FY21: SEK -7.1bn per Klarna Holding AB Annual Report 2022, translated at ~8.6 SEK/USD.</t>
        </r>
      </text>
    </comment>
    <comment ref="C14" authorId="0">
      <text>
        <r>
          <rPr>
            <sz val="10"/>
            <rFont val="Arial"/>
            <family val="2"/>
          </rPr>
          <t xml:space="preserve">FY21: 147mm per Klarna FY2021 results release (cumulative registered/active base definition used at the time).</t>
        </r>
      </text>
    </comment>
    <comment ref="C17" authorId="0">
      <text>
        <r>
          <rPr>
            <sz val="10"/>
            <rFont val="Arial"/>
            <family val="2"/>
          </rPr>
          <t xml:space="preserve">Klarna priced its NYSE IPO at $40.00/share on 9-Sep-2025, above the $35–$37 guided range (CNBC, Investing.com).</t>
        </r>
      </text>
    </comment>
    <comment ref="C18" authorId="0">
      <text>
        <r>
          <rPr>
            <sz val="10"/>
            <rFont val="Arial"/>
            <family val="2"/>
          </rPr>
          <t xml:space="preserve">Shares closed +15% at $45.82 on debut, 10-Sep-2025 (CNBC).</t>
        </r>
      </text>
    </comment>
    <comment ref="C19" authorId="0">
      <text>
        <r>
          <rPr>
            <sz val="10"/>
            <rFont val="Arial"/>
            <family val="2"/>
          </rPr>
          <t xml:space="preserve">~$15.1bn per Investing.com / multiple sources at $40.00 offer price.</t>
        </r>
      </text>
    </comment>
    <comment ref="C20" authorId="0">
      <text>
        <r>
          <rPr>
            <sz val="10"/>
            <rFont val="Arial"/>
            <family val="2"/>
          </rPr>
          <t xml:space="preserve">~$19.65bn per Ultima Markets, reflecting the +15% first-day close on Klarna's chosen diluted share count — an IMPLIED valuation at that closing price, not necessarily identical to the market's own headline "market capitalization" figure, which may use a different share-count convention. Labeled accordingly to avoid overstating precision.</t>
        </r>
      </text>
    </comment>
    <comment ref="C21" authorId="0">
      <text>
        <r>
          <rPr>
            <sz val="10"/>
            <rFont val="Arial"/>
            <family val="2"/>
          </rPr>
          <t xml:space="preserve">~377.8mm diluted shares outstanding immediately following the offering, per Klarna's IPO prospectus / F-1 capitalization disclosure (consistent with $40.00 × 377.8mm ≈ $15.1bn IPO valuation). Used directly (rather than back-solved from the rounded $15.1bn headline valuation) for precision.</t>
        </r>
      </text>
    </comment>
    <comment ref="C22" authorId="0">
      <text>
        <r>
          <rPr>
            <sz val="10"/>
            <rFont val="Arial"/>
            <family val="2"/>
          </rPr>
          <t xml:space="preserve">Klarna sold 5,000,000 new primary shares in the IPO (Investing.com).</t>
        </r>
      </text>
    </comment>
    <comment ref="C23" authorId="0">
      <text>
        <r>
          <rPr>
            <sz val="10"/>
            <rFont val="Arial"/>
            <family val="2"/>
          </rPr>
          <t xml:space="preserve">Existing shareholders sold 29,311,274 shares (Investing.com).</t>
        </r>
      </text>
    </comment>
    <comment ref="C25" authorId="0">
      <text>
        <r>
          <rPr>
            <sz val="10"/>
            <rFont val="Arial"/>
            <family val="2"/>
          </rPr>
          <t xml:space="preserve">Modeled net cash position at IPO (cash &amp; investments less corporate borrowings, excluding non-recourse consumer-deposit / warehouse funding of the loan book, which is netted against loan receivables). Not separately disclosed at this granularity; treated as a model assumption for the DCF equity bridge — negative value denotes net cash.</t>
        </r>
      </text>
    </comment>
    <comment ref="C29" authorId="0">
      <text>
        <r>
          <rPr>
            <sz val="10"/>
            <rFont val="Arial"/>
            <family val="2"/>
          </rPr>
          <t xml:space="preserve">FY25 GMV grew 22% YoY (accelerating through the year: Q1 +13% LfL → Q4 +23% LfL, per quarterly releases) and Q1'26 grew 33% YoY. Base case tapers growth from the current run-rate toward a mid-teens/low-double-digit long-run rate as the base scales, consistent with guidance-implied deceleration and BNPL/digital-banking market maturation.</t>
        </r>
      </text>
    </comment>
    <comment ref="C30" authorId="0">
      <text>
        <r>
          <rPr>
            <sz val="10"/>
            <rFont val="Arial"/>
            <family val="2"/>
          </rPr>
          <t xml:space="preserve">Take rate rose from 2.68% (FY24) to 2.74% (FY25) on mix shift toward Klarna Card, Fair Financing and banking products (15.8mm banking consumers generating ~3x revenue per user per Q4'25 release). Modeled to continue expanding modestly as banking mix scales, consistent with company commentary.</t>
        </r>
      </text>
    </comment>
    <comment ref="C31" authorId="0">
      <text>
        <r>
          <rPr>
            <sz val="10"/>
            <rFont val="Arial"/>
            <family val="2"/>
          </rPr>
          <t xml:space="preserve">FY25 realized ~0.62% of GMV; Q4'25 was 0.65%, improving from 0.72% in Q3'25 on tighter underwriting despite Fair Financing scaling. Base case assumes gradual improvement toward ~0.50% as underwriting models mature (20+ years / $0.5tn underwritten per Q1'26 release). THIS IS THE PRIMARY CREDIT STRESS-TEST LEVER (see Stress Testing tab).</t>
        </r>
      </text>
    </comment>
    <comment ref="C32" authorId="0">
      <text>
        <r>
          <rPr>
            <sz val="10"/>
            <rFont val="Arial"/>
            <family val="2"/>
          </rPr>
          <t xml:space="preserve">Model estimate, recalibrated for continuity with FY2025A's Transaction-Margin-Dollars-anchored processing ratio (26.9% of revenue — see historical build). Combined with Funding costs below, tapers gradually as scale/underwriting efficiency improve, consistent with Klarna's disclosed AI-driven cost efficiencies (revenue/employee +3.6x since 2022 per Q4'25 release).</t>
        </r>
      </text>
    </comment>
    <comment ref="C33" authorId="0">
      <text>
        <r>
          <rPr>
            <sz val="10"/>
            <rFont val="Arial"/>
            <family val="2"/>
          </rPr>
          <t xml:space="preserve">Model estimate, recalibrated for continuity with FY2025A's Transaction-Margin-Dollars-anchored funding ratio (14.5% of revenue). Klarna funds its loan book primarily via consumer deposits (~$9.5bn at YE2024 per Sacra) and warehouse/ABS facilities; deposit interest expense rose from ~$63mm (2022) to ~$343mm (2024) per Sacra as rates rose. Modeled as a gently declining % of revenue as deposit funding mix grows (cheaper than wholesale).</t>
        </r>
      </text>
    </comment>
    <comment ref="C37" authorId="0">
      <text>
        <r>
          <rPr>
            <sz val="10"/>
            <rFont val="Arial"/>
            <family val="2"/>
          </rPr>
          <t xml:space="preserve">Opex lines (Tech/S&amp;M/CS&amp;Ops/G&amp;A) reflect continued operating leverage: revenue/employee reached $1.24mm in Q4'25 (+3.6x since 2022) as Klarna cut headcount 49% since Q4 2022 while revenue grew 104% (per Q4'25 earnings release). Recalibrated (alongside the Transaction-Margin-Dollars-anchored cost-of-revenue lines above) to produce a smooth, credible Adjusted Operating Margin trajectory of roughly +2% (FY2026E) building to +12% (FY2030E) — continuing, rather than reversing, the profitability inflection Klarna reported through FY2025 (five consecutive profitable quarters into mid-2025 per company releases) even as Transaction margin is now modeled on a more conservative, disclosure-anchored basis.</t>
        </r>
      </text>
    </comment>
    <comment ref="C39" authorId="0">
      <text>
        <r>
          <rPr>
            <sz val="10"/>
            <rFont val="Arial"/>
            <family val="2"/>
          </rPr>
          <t xml:space="preserve">SBC modeled as elevated in the IPO year (FY25 ~5.1% of revenue, incl. RSU vesting/IPO awards) tapering toward a steady-state ~2.5% as a newly public company, consistent with typical post-IPO SBC normalization.</t>
        </r>
      </text>
    </comment>
    <comment ref="C40" authorId="0">
      <text>
        <r>
          <rPr>
            <sz val="10"/>
            <rFont val="Arial"/>
            <family val="2"/>
          </rPr>
          <t xml:space="preserve">FY25 included a ~$24mm Q2 lease-restructuring charge (Klarna Q2'25 release) plus other one-offs modeled at ~$40mm for the full year. Tapers to zero as IPO/restructuring-related costs roll off.</t>
        </r>
      </text>
    </comment>
    <comment ref="C41" authorId="0">
      <text>
        <r>
          <rPr>
            <sz val="10"/>
            <rFont val="Arial"/>
            <family val="2"/>
          </rPr>
          <t xml:space="preserve">Modeled net interest income on IPO net-cash balance and corporate treasury, net of any residual corporate financing cost; turns net positive as cash builds and rates normalize. Excludes loan-book funding costs (captured above in transaction costs).</t>
        </r>
      </text>
    </comment>
    <comment ref="C42" authorId="0">
      <text>
        <r>
          <rPr>
            <sz val="10"/>
            <rFont val="Arial"/>
            <family val="2"/>
          </rPr>
          <t xml:space="preserve">Blended statutory/effective rate across Klarna's principal jurisdictions (Sweden ~20.6% statutory plus other markets); modeled effective rate reflects historical pattern of tax expense even in loss-making years (profitable subsidiaries taxed locally) normalizing as consolidated pre-tax income turns durably positive.</t>
        </r>
      </text>
    </comment>
    <comment ref="C43" authorId="0">
      <text>
        <r>
          <rPr>
            <sz val="10"/>
            <rFont val="Arial"/>
            <family val="2"/>
          </rPr>
          <t xml:space="preserve">Primarily capitalized software/technology development; asset-light model consistent with a digital-only bank.</t>
        </r>
      </text>
    </comment>
    <comment ref="C44" authorId="0">
      <text>
        <r>
          <rPr>
            <sz val="10"/>
            <rFont val="Arial"/>
            <family val="2"/>
          </rPr>
          <t xml:space="preserve">Non-loan-book working capital (merchant payables/receivables, prepaid, other) modeled as a small, steady draw as the business scales. Loan-book growth is modeled separately on the Balance Sheet / Cash Flow tabs and is treated as substantially matched-funded by consumer deposits and warehouse/ABS facilities (see Balance Sheet tab), consistent with Klarna's short-duration (~5-week average) receivables turning over ~10x per year.</t>
        </r>
      </text>
    </comment>
    <comment ref="C45" authorId="0">
      <text>
        <r>
          <rPr>
            <sz val="10"/>
            <rFont val="Arial"/>
            <family val="2"/>
          </rPr>
          <t xml:space="preserve">Modeled ~375-380mm shares implied at IPO pricing (see Section B), with modest annual dilution from equity compensation.</t>
        </r>
      </text>
    </comment>
    <comment ref="C46" authorId="0">
      <text>
        <r>
          <rPr>
            <sz val="10"/>
            <rFont val="Arial"/>
            <family val="2"/>
          </rPr>
          <t xml:space="preserve">Klarna's core Pay-in-4 / short-term products carry an average duration of ~5–6 weeks; net loans to consumers modeled at ~11-12% of trailing GMV (≈ 40-45 days average duration), broadly consistent with the short-duration, high-turnover receivables book described in Klarna's disclosures and the Sacra research note on funding structure.</t>
        </r>
      </text>
    </comment>
    <comment ref="C47" authorId="0">
      <text>
        <r>
          <rPr>
            <sz val="10"/>
            <rFont val="Arial"/>
            <family val="2"/>
          </rPr>
          <t xml:space="preserve">Consumer deposits were ~$9.5bn at YE2024 vs. a modeled loan book of ~$12.6bn (11-12% of $105bn FY24 GMV) ≈ ~75% deposit-funded; per Sacra, Klarna increasingly funds via deposits (cheaper than wholesale) supplemented by forward-flow/ABS/securitization. Modeled deposit-funding mix continues to rise.</t>
        </r>
      </text>
    </comment>
    <comment ref="C48" authorId="0">
      <text>
        <r>
          <rPr>
            <sz val="10"/>
            <rFont val="Arial"/>
            <family val="2"/>
          </rPr>
          <t xml:space="preserve">Illustrative INCREMENTAL capital-adequacy ratio applied to loan-book growth in the DCF (see DCF Valuation tab). Full Basel III/CRR total capital requirements for a bank typically run 10.5%–15%+ of RWA, but on this model's Balance Sheet, loan growth is already ~100% financed by Consumer deposits + Other borrowings (i.e., debt/deposit funding, not equity) — applying the full statutory ratio on top would double-count the funding already captured via deposit/warehouse costs embedded in transaction costs above. 2–3% is calibrated as the incremental equity-capital buffer beyond that debt/deposit funding (roughly the CET1 minimum plus a modest management buffer, net of the deposit-funded portion), making the capital-adequacy drag explicit without implicitly assuming Klarna can fund its entire balance sheet with debt alone. Flex as a stress-test lever — raising this toward 10–12% would approximate a scenario where regulators or funding markets demand a much thicker equity cushion.</t>
        </r>
      </text>
    </comment>
    <comment ref="C51" authorId="0">
      <text>
        <r>
          <rPr>
            <sz val="10"/>
            <rFont val="Arial"/>
            <family val="2"/>
          </rPr>
          <t xml:space="preserve">Illustrative 10-year U.S. Treasury yield assumption as of the valuation date.</t>
        </r>
      </text>
    </comment>
    <comment ref="C52" authorId="0">
      <text>
        <r>
          <rPr>
            <sz val="10"/>
            <rFont val="Arial"/>
            <family val="2"/>
          </rPr>
          <t xml:space="preserve">Illustrative long-run U.S. equity risk premium (Damodaran-style assumption).</t>
        </r>
      </text>
    </comment>
    <comment ref="C53" authorId="0">
      <text>
        <r>
          <rPr>
            <sz val="10"/>
            <rFont val="Arial"/>
            <family val="2"/>
          </rPr>
          <t xml:space="preserve">Illustrative beta for a high-growth, credit-exposed consumer fintech lender, referencing listed BNPL/consumer-fintech peers (Affirm, PayPal) which trade at elevated beta given credit and rate sensitivity.</t>
        </r>
      </text>
    </comment>
    <comment ref="C55" authorId="0">
      <text>
        <r>
          <rPr>
            <sz val="10"/>
            <rFont val="Arial"/>
            <family val="2"/>
          </rPr>
          <t xml:space="preserve">Illustrative cost of corporate (non-loan-book) debt / cost of any drawn revolver; excludes deposit/warehouse funding of the consumer loan book, which is treated as an operating funding cost within transaction costs, not corporate capital structure.</t>
        </r>
      </text>
    </comment>
    <comment ref="C58" authorId="0">
      <text>
        <r>
          <rPr>
            <sz val="10"/>
            <rFont val="Arial"/>
            <family val="2"/>
          </rPr>
          <t xml:space="preserve">Corporate capital structure target (excludes non-recourse loan-book funding); Klarna is lightly levered at the corporate level post-IPO.</t>
        </r>
      </text>
    </comment>
    <comment ref="C61" authorId="0">
      <text>
        <r>
          <rPr>
            <sz val="10"/>
            <rFont val="Arial"/>
            <family val="2"/>
          </rPr>
          <t xml:space="preserve">Long-run nominal growth assumption, modestly above long-run GDP/inflation, reflecting durable share gains in a structurally growing BNPL/digital-banking market tempered by eventual maturation.</t>
        </r>
      </text>
    </comment>
    <comment ref="C72" authorId="0">
      <text>
        <r>
          <rPr>
            <sz val="10"/>
            <rFont val="Arial"/>
            <family val="2"/>
          </rPr>
          <t xml:space="preserve">Mar-2021: $31bn step-up round; Jun-2021: $45.6bn peak via SoftBank Vision Fund 2 (Sacra: "a $31B step-up in March 2021, a $45.6B peak via SoftBank Vision Fund 2 that June"); Jul-2022: $6.7bn recap, -85% (CNBC/Bloomberg, 11-Jul-2022); Sep-2025: $15.1bn IPO price; Sep-2025 Day-1: $19.65bn close (+15%).</t>
        </r>
      </text>
    </comment>
    <comment ref="C73" authorId="0">
      <text>
        <r>
          <rPr>
            <sz val="10"/>
            <rFont val="Arial"/>
            <family val="2"/>
          </rPr>
          <t xml:space="preserve">Approximate trailing annual revenue at (or nearest fiscal year-end to) each financing event: FY21 revenue ~$1,850mm used for both the Mar-21 and Jun-21 2021 rounds; FY23 revenue ~$2,266mm for the Jul-22 round (most recent FY at that time given reporting lag); FY25 revenue $3,509mm for the Sep-25 IPO and Day-1 close.</t>
        </r>
      </text>
    </comment>
    <comment ref="C78" authorId="0">
      <text>
        <r>
          <rPr>
            <sz val="10"/>
            <rFont val="Arial"/>
            <family val="2"/>
          </rPr>
          <t xml:space="preserve">Illustrative, order-of-magnitude figures for around the Klarna IPO date (9-Sep-2025): Affirm's market cap ranged roughly $21–$29bn through Sep-Oct 2025 per multiple public trackers (TipRanks, MarketBeat); $25bn used as a representative point estimate. Net debt of ~$7bn reflects Affirm's warehouse/securitization funding of its loan book (per its 10-K/10-Q disclosures: ~$9bn total debt vs. ~$1.8bn cash), giving an implied EV of ~$32bn — materially higher than net-CASH treatment would imply. LTM revenue ~$3.2bn is Affirm's fiscal-year (June-ending) LTM revenue as of mid-2025; NTM is an illustrative estimate. NOT a live market-data feed — replace with a real-time source for investment-grade use.</t>
        </r>
      </text>
    </comment>
    <comment ref="C79" authorId="0">
      <text>
        <r>
          <rPr>
            <sz val="10"/>
            <rFont val="Arial"/>
            <family val="2"/>
          </rPr>
          <t xml:space="preserve">Illustrative broad-market data as a large, diversified payments/BNPL-adjacent comparable (Klarna cites PayPal as a direct competitor per Sacra). Included for context; weighted low in the comp set given differing growth/margin/business-mix profile. NOT a live market-data feed.</t>
        </r>
      </text>
    </comment>
    <comment ref="C80" authorId="0">
      <text>
        <r>
          <rPr>
            <sz val="10"/>
            <rFont val="Arial"/>
            <family val="2"/>
          </rPr>
          <t xml:space="preserve">Illustrative, order-of-magnitude figures for around the Klarna IPO date (9-Sep-2025): market cap ~$46bn, net cash position of ~$2.6bn giving EV ~$43.4bn. Block acquired Afterpay for $29bn in 2021 (Sacra), giving it a direct BNPL business line, though consolidated financials are dominated by Cash App/Square. Included for context, weighted low given business-mix differences. NOT a live market-data feed.</t>
        </r>
      </text>
    </comment>
    <comment ref="C81" authorId="0">
      <text>
        <r>
          <rPr>
            <sz val="10"/>
            <rFont val="Arial"/>
            <family val="2"/>
          </rPr>
          <t xml:space="preserve">Illustrative; included as a high-growth, high-margin GLOBAL PAYMENTS PLATFORM comparable trading at a premium revenue multiple, representing the upper end of the comp range. NOTE: Adyen is a payments infrastructure/acquiring platform, not a direct BNPL comparable — it is included for growth/margin benchmarking purposes only, not as a BNPL peer (see "Selected payments / consumer-fintech peers" median below, which reflects this distinction). NOT a live market-data feed.</t>
        </r>
      </text>
    </comment>
    <comment ref="D6" authorId="0">
      <text>
        <r>
          <rPr>
            <sz val="10"/>
            <rFont val="Arial"/>
            <family val="2"/>
          </rPr>
          <t xml:space="preserve">FY22: $82,837mm per Klarna's F-1 registration statement (SEC EDGAR); cross-checked against the F-1's disclosure that GMV grew 27% (28% like-for-like) from 2022 to 2024 ($105,015mm/$82,837mm = 26.8% ✓).</t>
        </r>
      </text>
    </comment>
    <comment ref="D7" authorId="0">
      <text>
        <r>
          <rPr>
            <sz val="10"/>
            <rFont val="Arial"/>
            <family val="2"/>
          </rPr>
          <t xml:space="preserve">FY22: $1,904mm. Klarna Holding AB Annual Report 2022 discloses SEK 19.3bn; approximate USD translation, cross-checked against FY23's confirmed $2,276mm at a 22%-SEK/~19.5%-USD growth rate implied by the F-1 and Klarna's FY2023 results release.</t>
        </r>
      </text>
    </comment>
    <comment ref="D13" authorId="0">
      <text>
        <r>
          <rPr>
            <sz val="10"/>
            <rFont val="Arial"/>
            <family val="2"/>
          </rPr>
          <t xml:space="preserve">FY22: -SEK 10.4bn = -$992.5mm per TechCrunch (28-Feb-2023), citing Klarna's FY2022 annual report.</t>
        </r>
      </text>
    </comment>
    <comment ref="E6" authorId="0">
      <text>
        <r>
          <rPr>
            <sz val="10"/>
            <rFont val="Arial"/>
            <family val="2"/>
          </rPr>
          <t xml:space="preserve">FY23: $92,465mm per Klarna's F-1 registration statement (SEC EDGAR); consistent with Klarna's FY2023 results press release disclosing SEK 981bn GMV (+17% YoY) and Sacra's cited $92bn.</t>
        </r>
      </text>
    </comment>
    <comment ref="E7" authorId="0">
      <text>
        <r>
          <rPr>
            <sz val="10"/>
            <rFont val="Arial"/>
            <family val="2"/>
          </rPr>
          <t xml:space="preserve">FY23: $2,276mm — EXACT figure per Klarna Group plc's filed 6-K “Consolidated Statements of Profit or Loss for the Years Ended December 31, 2025, 2024 and 2023” (SEC EDGAR, filed with FY2025 results).</t>
        </r>
      </text>
    </comment>
    <comment ref="E10" authorId="0">
      <text>
        <r>
          <rPr>
            <sz val="10"/>
            <rFont val="Arial"/>
            <family val="2"/>
          </rPr>
          <t xml:space="preserve">FY23: $353mm — EXACT figure per Klarna Group plc's filed 6-K Consolidated Statements of Profit or Loss (SEC EDGAR).</t>
        </r>
      </text>
    </comment>
    <comment ref="E12" authorId="0">
      <text>
        <r>
          <rPr>
            <sz val="10"/>
            <rFont val="Arial"/>
            <family val="2"/>
          </rPr>
          <t xml:space="preserve">FY23: -$49mm — Klarna's disclosed non-GAAP Adjusted Operating Profit/(Loss) per its F-1 (Electronic Payments International, 17-Mar-2025, citing the F-1: "adjusted operating profit was $181m [2024], from a $49m loss a year earlier [2023]"). Note this is DIFFERENT from and better than the GAAP operating loss of $(323)mm for FY2023 (see Income Statement tab), since it excludes D&amp;A, SBC and restructuring.</t>
        </r>
      </text>
    </comment>
    <comment ref="E13" authorId="0">
      <text>
        <r>
          <rPr>
            <sz val="10"/>
            <rFont val="Arial"/>
            <family val="2"/>
          </rPr>
          <t xml:space="preserve">FY23: -$244mm per Axios ("net loss of $244 million on $2.3 billion in revenue", 14-Mar-2025, citing Klarna's IPO filing).</t>
        </r>
      </text>
    </comment>
    <comment ref="E14" authorId="0">
      <text>
        <r>
          <rPr>
            <sz val="10"/>
            <rFont val="Arial"/>
            <family val="2"/>
          </rPr>
          <t xml:space="preserve">FY23-24: ~93mm active consumers per Axios (Mar-2025 IPO filing coverage).</t>
        </r>
      </text>
    </comment>
    <comment ref="F6" authorId="0">
      <text>
        <r>
          <rPr>
            <sz val="10"/>
            <rFont val="Arial"/>
            <family val="2"/>
          </rPr>
          <t xml:space="preserve">FY24: $105,015mm per Klarna's F-1 registration statement (SEC EDGAR) — GMV $105bn, +14% YoY (15% like-for-like).</t>
        </r>
      </text>
    </comment>
    <comment ref="F7" authorId="0">
      <text>
        <r>
          <rPr>
            <sz val="10"/>
            <rFont val="Arial"/>
            <family val="2"/>
          </rPr>
          <t xml:space="preserve">FY24: $2,811mm — EXACT figure per the same filed 6-K statement (+23.5% YoY, consistent with the ~24% YoY commonly cited in press coverage).</t>
        </r>
      </text>
    </comment>
    <comment ref="F10" authorId="0">
      <text>
        <r>
          <rPr>
            <sz val="10"/>
            <rFont val="Arial"/>
            <family val="2"/>
          </rPr>
          <t xml:space="preserve">FY24: $495mm — EXACT figure per the same filed 6-K statement (also cited by Sacra: "~17.6% of revenue").</t>
        </r>
      </text>
    </comment>
    <comment ref="F12" authorId="0">
      <text>
        <r>
          <rPr>
            <sz val="10"/>
            <rFont val="Arial"/>
            <family val="2"/>
          </rPr>
          <t xml:space="preserve">FY24: +$181mm — Klarna's disclosed non-GAAP Adjusted Operating Profit per the same source. This is materially different from the GAAP operating loss of $(121)mm for FY2024 — see Income Statement tab for the full GAAP build.</t>
        </r>
      </text>
    </comment>
    <comment ref="F13" authorId="0">
      <text>
        <r>
          <rPr>
            <sz val="10"/>
            <rFont val="Arial"/>
            <family val="2"/>
          </rPr>
          <t xml:space="preserve">FY24: +$21mm per Axios/Sacra ("$21 million net profit" — Klarna's first annual profit since 2019).</t>
        </r>
      </text>
    </comment>
    <comment ref="G6" authorId="0">
      <text>
        <r>
          <rPr>
            <sz val="10"/>
            <rFont val="Arial"/>
            <family val="2"/>
          </rPr>
          <t xml:space="preserve">FY25: Klarna Group plc FY2025 Results press release (26-Feb-2026): GMV $127.9bn, +22% YoY.</t>
        </r>
      </text>
    </comment>
    <comment ref="G7" authorId="0">
      <text>
        <r>
          <rPr>
            <sz val="10"/>
            <rFont val="Arial"/>
            <family val="2"/>
          </rPr>
          <t xml:space="preserve">FY25: $3,509mm — EXACT figure per the same filed 6-K statement, matching the sum of quarterly revenue per Klarna press releases (Q1 $701mm + Q2 $823mm + Q3 $903mm + Q4 $1,082mm) and the Company's own "$3.5bn, +25% YoY" headline.</t>
        </r>
      </text>
    </comment>
    <comment ref="G10" authorId="0">
      <text>
        <r>
          <rPr>
            <sz val="10"/>
            <rFont val="Arial"/>
            <family val="2"/>
          </rPr>
          <t xml:space="preserve">FY25: $794mm — EXACT figure per the same filed 6-K statement; consistent with weighted-average quarterly provision rate of ~0.62% of GMV (Q1 0.54%, Q2 0.56%, Q3 0.72%, Q4 0.65% per Klarna's quarterly earnings releases).</t>
        </r>
      </text>
    </comment>
    <comment ref="G12" authorId="0">
      <text>
        <r>
          <rPr>
            <sz val="10"/>
            <rFont val="Arial"/>
            <family val="2"/>
          </rPr>
          <t xml:space="preserve">FY25: +$65mm per Klarna's FY2025 Results press release: "Adjusted Operating Profit of $65 million (adjusted operating margin of 1.9%)".</t>
        </r>
      </text>
    </comment>
    <comment ref="G13" authorId="0">
      <text>
        <r>
          <rPr>
            <sz val="10"/>
            <rFont val="Arial"/>
            <family val="2"/>
          </rPr>
          <t xml:space="preserve">FY25: -$294.0mm per Simply Wall St, citing Klarna FY2025 Results (EPS $(0.79); basic/diluted EPS also confirmed in Klarna's FY2025 Results press release, 26-Feb-2026).</t>
        </r>
      </text>
    </comment>
    <comment ref="G14" authorId="0">
      <text>
        <r>
          <rPr>
            <sz val="10"/>
            <rFont val="Arial"/>
            <family val="2"/>
          </rPr>
          <t xml:space="preserve">FY25: 118mm active consumers, +28% YoY, per Klarna FY2025 Results release.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32" authorId="0">
      <text>
        <r>
          <rPr>
            <sz val="10"/>
            <rFont val="Arial"/>
            <family val="2"/>
          </rPr>
          <t xml:space="preserve">Klarna's own disclosed non-GAAP metric, defined as operating profit/(loss) excluding depreciation, amortization, stock-based payments, related payroll taxes and restructuring costs. Sourced directly from Klarna's F-1 / earnings coverage (Electronic Payments International, 17-Mar-2025, citing the F-1: FY2023 −$49mm, FY2024 +$181mm) and Klarna's FY2025 Results release (+$65mm). This is a MEMO line only — it is NOT algebraically derived from the GAAP lines above, because stock-based compensation is embedded within the functional expense lines (Technology, Sales &amp; marketing, etc.) in Klarna's filed statements rather than broken out as a separate line, so the exact functional allocation cannot be reverse-engineered from public disclosure. The GAAP “Operating profit/(loss) before D&amp;A” row above therefore differs from this Adjusted figure by the (undisclosed, functionally-embedded) SBC and restructuring amount.</t>
        </r>
      </text>
    </comment>
    <comment ref="B38" authorId="0">
      <text>
        <r>
          <rPr>
            <sz val="10"/>
            <rFont val="Arial"/>
            <family val="2"/>
          </rPr>
          <t xml:space="preserve">FY2023A–FY2025A per Klarna's filed 6-K Consolidated Statements of Profit or Loss. FY2024A's +$154mm was driven substantially by a ~$171mm net gain on the divestment of Klarna Checkout (KCO), completed in 2024 (Fintech Takes, 21-Mar-2025) — a non-recurring item, NOT a recurring net-finance-income run rate. FY2026E–FY2030E projections are accordingly modeled conservatively (modest net interest income on the Company's post-IPO cash balance only) rather than assuming further one-off gains of similar magnitude.</t>
        </r>
      </text>
    </comment>
    <comment ref="B42" authorId="0">
      <text>
        <r>
          <rPr>
            <sz val="10"/>
            <rFont val="Arial"/>
            <family val="2"/>
          </rPr>
          <t xml:space="preserve">Per Klarna's filed 6-K: total consolidated net income/(loss) of $(244)mm/$21mm/$(273)mm for FY2023A/24A/25A includes amounts attributable to non-controlling interests of $5mm/$18mm/$21mm respectively, leaving $(249)mm/$3mm/$(294)mm attributable to Klarna Group plc shareholders — the basis for reported EPS. FY2026E–FY2030E assumes immaterial non-controlling interests (simplification).</t>
        </r>
      </text>
    </comment>
    <comment ref="D46" authorId="0">
      <text>
        <r>
          <rPr>
            <sz val="10"/>
            <rFont val="Arial"/>
            <family val="2"/>
          </rPr>
          <t xml:space="preserve">Implied from Klarna's disclosed FY2025 diluted EPS of $(0.79) on a net loss of $(294.0)mm attributable to shareholders: 294.0/0.79 ≈ 372.2mm diluted shares (Simply Wall St, citing Klarna FY2025 Results).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42" authorId="0">
      <text>
        <r>
          <rPr>
            <sz val="10"/>
            <rFont val="Arial"/>
            <family val="2"/>
          </rPr>
          <t xml:space="preserve">Klarna Group plc interim SEC filing as of 30-Jun-2025: cash and cash equivalents of $5,504mm.</t>
        </r>
      </text>
    </comment>
    <comment ref="A43" authorId="0">
      <text>
        <r>
          <rPr>
            <sz val="10"/>
            <rFont val="Arial"/>
            <family val="2"/>
          </rPr>
          <t xml:space="preserve">Same filing: consumer receivables, net of $9,950mm — compare to this tab's modeled "Net loans to consumers" at FY2025A (year-end, not the June mid-year snapshot above): the model's turnover-based proxy runs meaningfully higher than this actual figure, reflecting the deliberate simplification of estimating loans as a flat % of trailing GMV rather than replicating Klarna's actual receivables recognition, staging, and allowance-for-credit-losses methodology.</t>
        </r>
      </text>
    </comment>
    <comment ref="A44" authorId="0">
      <text>
        <r>
          <rPr>
            <sz val="10"/>
            <rFont val="Arial"/>
            <family val="2"/>
          </rPr>
          <t xml:space="preserve">Same filing: consumer deposits of $13,970mm — likewise higher than this tab's modeled deposit balance at the comparable point, for the same reason.</t>
        </r>
      </text>
    </comment>
    <comment ref="B20" authorId="0">
      <text>
        <r>
          <rPr>
            <sz val="10"/>
            <rFont val="Arial"/>
            <family val="2"/>
          </rPr>
          <t xml:space="preserve">Illustrative opening (FY2023A) paid-in capital estimate. Klarna raised a little over $3.7bn of cumulative private capital pre-IPO across rounds from DST Global, General Atlantic, Dragoneer, Silver Lake, GIC, BlackRock, SoftBank Vision Fund 2 and others (Sacra); this opening balance (together with the accumulated deficit below) is calibrated so opening Total equity ($2.3bn) reconciles Total assets to Total liabilities, consistent with the illustrative FY2023A opening balance sheet.</t>
        </r>
      </text>
    </comment>
    <comment ref="B21" authorId="0">
      <text>
        <r>
          <rPr>
            <sz val="10"/>
            <rFont val="Arial"/>
            <family val="2"/>
          </rPr>
          <t xml:space="preserve">Illustrative opening (FY2023A) accumulated deficit estimate, broadly consistent with Klarna's disclosed cumulative net losses in prior years (FY2021 ~$(830)mm; FY2022 ~$(992)mm) against the paid-in capital raised. Not separately disclosed at this granularity; see Assumptions tab Section A for underlying annual net income/(loss) figures.</t>
        </r>
      </text>
    </comment>
    <comment ref="C20" authorId="0">
      <text>
        <r>
          <rPr>
            <sz val="10"/>
            <rFont val="Arial"/>
            <family val="2"/>
          </rPr>
          <t xml:space="preserve">Grows by the same Stock-based compensation &amp; other non-cash addback shown on the Cash Flow Statement tab (standard double-entry treatment: the non-cash SBC expense that reduced Net income is credited back to paid-in capital, since it represents equity compensation rather than a cash cost). This keeps the SBC treatment internally consistent across the Income Statement (expensed), Cash Flow Statement (added back as non-cash) and Balance Sheet (credited to equity) — while the DCF Valuation tab deliberately does NOT add SBC back to free cash flow (a separate, more conservative valuation choice; see DCF tab note).</t>
        </r>
      </text>
    </comment>
    <comment ref="D20" authorId="0">
      <text>
        <r>
          <rPr>
            <sz val="10"/>
            <rFont val="Arial"/>
            <family val="2"/>
          </rPr>
          <t xml:space="preserve">FY2025A step-up reflects the Company's ~$200mm gross primary IPO proceeds (5.0mm primary shares × $40.00). Secondary (selling-shareholder) shares raise no proceeds for the Company and are excluded. Stock-based compensation is treated as a real, non-add-back GAAP expense embedded within the Income Statement's functional opex lines (see IS tab note) rather than a separate non-cash item credited to paid-in capital — a deliberately conservative simplification given Klarna's filed statements do not separately break out SBC by line.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FY2024A: $220mm — precisely derived as (Adjusted Operating Profit $181mm − GAAP Operating loss $(121)mm) − known D&amp;A $82mm = $220mm of combined SBC, restructuring and related payroll-tax addback (all non-cash or non-recurring), per Klarna's own non-GAAP reconciliation definition and its filed 6-K. This is an exact, disclosure-anchored TOTAL; the individual SBC-vs-restructuring split within it is not separately disclosed.</t>
        </r>
      </text>
    </comment>
    <comment ref="D8" authorId="0">
      <text>
        <r>
          <rPr>
            <sz val="10"/>
            <rFont val="Arial"/>
            <family val="2"/>
          </rPr>
          <t xml:space="preserve">FY2025A: $240mm — derived the same way: (Adjusted Operating Profit $65mm − GAAP Operating loss $(230)mm) − known D&amp;A $55mm = $240mm.</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18" authorId="0">
      <text>
        <r>
          <rPr>
            <sz val="10"/>
            <rFont val="Arial"/>
            <family val="2"/>
          </rPr>
          <t xml:space="preserve">Mid-point of 4.25x sits well below Affirm's implied EV/LTM Revenue multiple (~10x on the illustrative $32bn EV / $3.2bn LTM revenue basis above), reflecting Klarna's thinner net margins and heavier consumer-credit exposure at IPO, but above distressed/trough-level multiples — broadly consistent with Sacra's cited IPO target of "3.5–5x revenue."</t>
        </r>
      </text>
    </comment>
  </commentList>
</comments>
</file>

<file path=xl/sharedStrings.xml><?xml version="1.0" encoding="utf-8"?>
<sst xmlns="http://schemas.openxmlformats.org/spreadsheetml/2006/main" count="453" uniqueCount="381">
  <si>
    <t xml:space="preserve">KLARNA GROUP PLC (NYSE: KLAR)</t>
  </si>
  <si>
    <t xml:space="preserve">IPO Valuation &amp; Pricing Analysis</t>
  </si>
  <si>
    <t xml:space="preserve">Integrated Three-Statement Model | DCF &amp; Revenue-Multiple Valuation | Re-Rating Bridge ($46bn → $6.7bn → $15bn) | Credit-Loss &amp; Profitability Stress Testing</t>
  </si>
  <si>
    <t xml:space="preserve">Prepared for:</t>
  </si>
  <si>
    <t xml:space="preserve">Illustrative Equity Research / IB Coverage Exercise</t>
  </si>
  <si>
    <t xml:space="preserve">Sector:</t>
  </si>
  <si>
    <t xml:space="preserve">Fintech / Buy-Now-Pay-Later / Digital Banking</t>
  </si>
  <si>
    <t xml:space="preserve">Ticker / Exchange:</t>
  </si>
  <si>
    <t xml:space="preserve">KLAR / NYSE</t>
  </si>
  <si>
    <t xml:space="preserve">IPO Date:</t>
  </si>
  <si>
    <t xml:space="preserve">September 10, 2025 (priced $40.00/sh, 9-Sep-25)</t>
  </si>
  <si>
    <t xml:space="preserve">Model Date / As-of:</t>
  </si>
  <si>
    <t xml:space="preserve">September 2, 2026 (post FY2025 &amp; Q1 2026 actuals)</t>
  </si>
  <si>
    <t xml:space="preserve">Currency:</t>
  </si>
  <si>
    <t xml:space="preserve">USD, $ in millions unless noted (Klarna reports in USD from FY2024 onward; FY2021-22 SEK figures translated at disclosed/average FX)</t>
  </si>
  <si>
    <t xml:space="preserve">TABLE OF CONTENTS</t>
  </si>
  <si>
    <t xml:space="preserve">1.</t>
  </si>
  <si>
    <t xml:space="preserve">Cover</t>
  </si>
  <si>
    <t xml:space="preserve">Deal summary, scope and key conclusions</t>
  </si>
  <si>
    <t xml:space="preserve">2.</t>
  </si>
  <si>
    <t xml:space="preserve">Assumptions</t>
  </si>
  <si>
    <t xml:space="preserve">Historical data, operating drivers, WACC build, valuation-history inputs (all sourced)</t>
  </si>
  <si>
    <t xml:space="preserve">3.</t>
  </si>
  <si>
    <t xml:space="preserve">Income Statement</t>
  </si>
  <si>
    <t xml:space="preserve">3-statement model — FY2023A–FY2025A actuals + FY2026E–FY2030E projection</t>
  </si>
  <si>
    <t xml:space="preserve">4.</t>
  </si>
  <si>
    <t xml:space="preserve">Balance Sheet</t>
  </si>
  <si>
    <t xml:space="preserve">Simplified lender balance sheet — loan book, funding, equity roll-forward</t>
  </si>
  <si>
    <t xml:space="preserve">5.</t>
  </si>
  <si>
    <t xml:space="preserve">Cash Flow Statement</t>
  </si>
  <si>
    <t xml:space="preserve">Operating / investing / financing cash flow, linked to IS &amp; BS</t>
  </si>
  <si>
    <t xml:space="preserve">6.</t>
  </si>
  <si>
    <t xml:space="preserve">DCF Valuation</t>
  </si>
  <si>
    <t xml:space="preserve">Unlevered FCF, WACC, terminal value, implied equity value per share</t>
  </si>
  <si>
    <t xml:space="preserve">7.</t>
  </si>
  <si>
    <t xml:space="preserve">Comps - Revenue Multiples</t>
  </si>
  <si>
    <t xml:space="preserve">EV/Revenue benchmarking vs. Affirm, PayPal, Block/Afterpay, Adyen</t>
  </si>
  <si>
    <t xml:space="preserve">8.</t>
  </si>
  <si>
    <t xml:space="preserve">Re-Rating Bridge</t>
  </si>
  <si>
    <t xml:space="preserve">Decomposition of $46bn (2021) → $6.7bn (2022) → $15bn (2025 IPO)</t>
  </si>
  <si>
    <t xml:space="preserve">9.</t>
  </si>
  <si>
    <t xml:space="preserve">Stress Testing</t>
  </si>
  <si>
    <t xml:space="preserve">Sensitivity grids: WACC/terminal growth; GMV growth/credit-loss rate</t>
  </si>
  <si>
    <t xml:space="preserve">10.</t>
  </si>
  <si>
    <t xml:space="preserve">Scenario Summary</t>
  </si>
  <si>
    <t xml:space="preserve">Bear / Base / Bull profitability and credit scenarios</t>
  </si>
  <si>
    <t xml:space="preserve">11.</t>
  </si>
  <si>
    <t xml:space="preserve">Football Field</t>
  </si>
  <si>
    <t xml:space="preserve">Valuation summary chart across all methodologies vs. actual IPO pricing</t>
  </si>
  <si>
    <t xml:space="preserve">KEY CONCLUSIONS (SUMMARY)</t>
  </si>
  <si>
    <t xml:space="preserve">•  Klarna re-rated from a $45.6bn peak (Jun-2021 SoftBank round) to a $6.7bn trough (Jul-2022 down round, -85%) to a $15.1bn IPO price (Sep-2025) and a $19.65bn first-day close — a move driven far more by multiple compression/expansion (growth-at-all-costs → risk-off → disciplined profitable growth) than by revenue, which grew every year through the cycle.</t>
  </si>
  <si>
    <t xml:space="preserve">•  This model builds an integrated 3-statement projection (FY2026E–FY2030E) off FY2025A actuals (Revenue $3.51bn, GMV $127.9bn, net loss attributable to shareholders $(294)mm, disclosed Adjusted Operating Profit $65mm), all reconciled to Klarna's actual filed 6-K financial statements (SEC EDGAR).</t>
  </si>
  <si>
    <t xml:space="preserve">•  DCF (base case, ~10.95% WACC, 3.5% terminal growth → $9.1bn / $24.10 per share) sits BELOW the $15.1bn offer price — by design, this is flagged as an ILLUSTRATIVE cross-check rather than the primary valuation methodology, since ~83% of enterprise value comes from the Gordon Growth terminal value and a standard unlevered-FCF DCF is a simplification for a regulated, credit-exposed digital bank (see DCF tab methodology note). EV/Revenue comps (3.0x–5.5x FY2026E revenue) bracket the actual pricing far more comfortably; both are triangulated in the Football Field tab.</t>
  </si>
  <si>
    <t xml:space="preserve">•  Stress testing flexes GMV growth, take rate, credit-loss rate (%GMV), WACC/terminal growth and a regulatory-capital-adequacy drag on loan growth to bound the valuation range and pressure-test the profitability inflection Klarna has reported since FY2024.</t>
  </si>
  <si>
    <t xml:space="preserve">COLOR CONVENTIONS</t>
  </si>
  <si>
    <t xml:space="preserve">Blue text</t>
  </si>
  <si>
    <t xml:space="preserve">Hardcoded input / assumption (sourced or user-editable)</t>
  </si>
  <si>
    <t xml:space="preserve">Black text</t>
  </si>
  <si>
    <t xml:space="preserve">Formula calculated within the same sheet</t>
  </si>
  <si>
    <t xml:space="preserve">Green text</t>
  </si>
  <si>
    <t xml:space="preserve">Formula linking to another sheet</t>
  </si>
  <si>
    <t xml:space="preserve">Yellow fill</t>
  </si>
  <si>
    <t xml:space="preserve">Key assumption or stress-test lever</t>
  </si>
  <si>
    <t xml:space="preserve">Sources: Klarna Group plc quarterly &amp; annual earnings releases and press releases (2022–2026), Klarna Holding AB / Klarna Bank AB Annual Reports (2021–2023), Klarna F-1/IPO prospectus commentary, CNBC, Reuters, Bloomberg, Forbes, Morningstar, Axios, Sacra, Fox Business, Business of Apps, Simply Wall St, TechCrunch (Sep 2025–Feb 2026 reporting). Figures not individually disclosed by the Company (e.g., granular transaction-cost and opex splits, balance-sheet detail) are modeled estimates calibrated to reconcile to disclosed aggregates (Revenue, GMV, Adjusted Operating Profit, Net Income) and are flagged accordingly on each sheet. This is an independent, illustrative analysis; it is not investment advice and is not affiliated with Klarna Group plc.</t>
  </si>
  <si>
    <t xml:space="preserve">Assumptions &amp; Operating Drivers</t>
  </si>
  <si>
    <t xml:space="preserve">All hardcoded inputs (blue) live on this tab and are referenced by every other sheet — change here to flow through the model.</t>
  </si>
  <si>
    <t xml:space="preserve">A. HISTORICAL FINANCIAL DATA — AS REPORTED BY KLARNA GROUP PLC</t>
  </si>
  <si>
    <t xml:space="preserve">($ in millions, except take rate / loss rate)</t>
  </si>
  <si>
    <t xml:space="preserve">FY2021A</t>
  </si>
  <si>
    <t xml:space="preserve">FY2022A</t>
  </si>
  <si>
    <t xml:space="preserve">FY2023A</t>
  </si>
  <si>
    <t xml:space="preserve">FY2024A</t>
  </si>
  <si>
    <t xml:space="preserve">FY2025A</t>
  </si>
  <si>
    <t xml:space="preserve">Gross Merchandise Volume (GMV)</t>
  </si>
  <si>
    <t xml:space="preserve">Total Revenue</t>
  </si>
  <si>
    <t xml:space="preserve">Revenue growth, YoY</t>
  </si>
  <si>
    <t xml:space="preserve">Take rate (Revenue / GMV)</t>
  </si>
  <si>
    <t xml:space="preserve">Provision for credit losses</t>
  </si>
  <si>
    <t xml:space="preserve">Credit loss rate (% of GMV)</t>
  </si>
  <si>
    <t xml:space="preserve">Adjusted operating profit / (loss)</t>
  </si>
  <si>
    <t xml:space="preserve">Net income / (loss)</t>
  </si>
  <si>
    <t xml:space="preserve">Active consumers (millions)</t>
  </si>
  <si>
    <t xml:space="preserve">B. IPO &amp; CAPITAL STRUCTURE INPUTS</t>
  </si>
  <si>
    <t xml:space="preserve">IPO price per share</t>
  </si>
  <si>
    <t xml:space="preserve">Day-1 closing price per share</t>
  </si>
  <si>
    <t xml:space="preserve">IPO implied equity value ($mm)</t>
  </si>
  <si>
    <t xml:space="preserve">Implied equity value at Day-1 closing price ($mm)</t>
  </si>
  <si>
    <t xml:space="preserve">Diluted shares outstanding at IPO (mm)</t>
  </si>
  <si>
    <t xml:space="preserve">Primary shares sold (mm)</t>
  </si>
  <si>
    <t xml:space="preserve">Secondary (selling shareholder) shares (mm)</t>
  </si>
  <si>
    <t xml:space="preserve">Gross IPO proceeds to Company ($mm)</t>
  </si>
  <si>
    <t xml:space="preserve">Net debt at IPO (corporate, non-funding) ($mm)</t>
  </si>
  <si>
    <t xml:space="preserve">C. PROJECTION DRIVERS — FY2026E–FY2030E (KEY ASSUMPTIONS = YELLOW)</t>
  </si>
  <si>
    <t xml:space="preserve">FY2026E</t>
  </si>
  <si>
    <t xml:space="preserve">FY2027E</t>
  </si>
  <si>
    <t xml:space="preserve">FY2028E</t>
  </si>
  <si>
    <t xml:space="preserve">FY2029E</t>
  </si>
  <si>
    <t xml:space="preserve">FY2030E</t>
  </si>
  <si>
    <t xml:space="preserve">GMV growth, YoY %</t>
  </si>
  <si>
    <t xml:space="preserve">Take rate (Revenue / GMV), %</t>
  </si>
  <si>
    <t xml:space="preserve">Provision for credit losses (% of GMV) — STRESS LEVER</t>
  </si>
  <si>
    <t xml:space="preserve">Processing &amp; servicing costs (% of revenue)</t>
  </si>
  <si>
    <t xml:space="preserve">Funding costs (% of revenue)</t>
  </si>
  <si>
    <t xml:space="preserve">Technology &amp; product development (% of revenue)</t>
  </si>
  <si>
    <t xml:space="preserve">Sales &amp; marketing (% of revenue)</t>
  </si>
  <si>
    <t xml:space="preserve">Customer service &amp; operations (% of revenue)</t>
  </si>
  <si>
    <t xml:space="preserve">General &amp; administrative (% of revenue)</t>
  </si>
  <si>
    <t xml:space="preserve">D&amp;A (% of revenue)</t>
  </si>
  <si>
    <t xml:space="preserve">Stock-based compensation (% of revenue)</t>
  </si>
  <si>
    <t xml:space="preserve">Restructuring &amp; one-off items ($mm)</t>
  </si>
  <si>
    <t xml:space="preserve">Net finance income / (expense) ($mm)</t>
  </si>
  <si>
    <t xml:space="preserve">Effective tax rate, %</t>
  </si>
  <si>
    <t xml:space="preserve">Capex (% of revenue)</t>
  </si>
  <si>
    <t xml:space="preserve">Change in other (non-loan) NWC (% of ΔRevenue)</t>
  </si>
  <si>
    <t xml:space="preserve">Diluted shares outstanding (mm)</t>
  </si>
  <si>
    <t xml:space="preserve">Loan book turnover assumption: net loans (% of trailing-12mo GMV)</t>
  </si>
  <si>
    <t xml:space="preserve">Deposit funding (% of net loan book)</t>
  </si>
  <si>
    <t xml:space="preserve">Target regulatory capital ratio (equity capital / net loans) — STRESS LEVER</t>
  </si>
  <si>
    <t xml:space="preserve">D. WACC BUILD &amp; DCF ASSUMPTIONS</t>
  </si>
  <si>
    <t xml:space="preserve">Risk-free rate (10yr UST)</t>
  </si>
  <si>
    <t xml:space="preserve">Equity risk premium</t>
  </si>
  <si>
    <t xml:space="preserve">Levered beta</t>
  </si>
  <si>
    <t xml:space="preserve">Cost of equity</t>
  </si>
  <si>
    <t xml:space="preserve">Pre-tax cost of corporate debt</t>
  </si>
  <si>
    <t xml:space="preserve">Effective tax rate (for WACC)</t>
  </si>
  <si>
    <t xml:space="preserve">After-tax cost of debt</t>
  </si>
  <si>
    <t xml:space="preserve">Target debt / total capital</t>
  </si>
  <si>
    <t xml:space="preserve">Target equity / total capital</t>
  </si>
  <si>
    <t xml:space="preserve">WACC</t>
  </si>
  <si>
    <t xml:space="preserve">Terminal growth rate (g)</t>
  </si>
  <si>
    <t xml:space="preserve">Valuation date</t>
  </si>
  <si>
    <t xml:space="preserve">2-Sep-2026</t>
  </si>
  <si>
    <t xml:space="preserve">Footnote: WACC sensitivity to beta assumption</t>
  </si>
  <si>
    <t xml:space="preserve">Beta = 1.35 (base)</t>
  </si>
  <si>
    <t xml:space="preserve">Beta = 1.60</t>
  </si>
  <si>
    <t xml:space="preserve">Beta = 1.80</t>
  </si>
  <si>
    <t xml:space="preserve">Base-case beta of 1.35 is a moderate assumption; BNPL/consumer-credit fintechs have historically traded at higher beta (Affirm's 5-year beta has ranged well above 2.0x amid rate and credit-cycle sensitivity per public market data). A 1.60–1.80 beta — arguably more representative of Klarna's credit exposure and single-digit-years-public trading history — would lift WACC by roughly 125bps (beta 1.60) to 220bps (beta 1.80) versus the 1.35 base case (see row above); apply directly in the Assumptions cell above, or use the WACC/terminal-growth grid on the Stress Testing tab (which already brackets WACC from 8.95% to 12.95%) to see the resulting swing in implied value per share.</t>
  </si>
  <si>
    <t xml:space="preserve">E. VALUATION HISTORY — INPUTS FOR RE-RATING BRIDGE</t>
  </si>
  <si>
    <t xml:space="preserve">Mar-2021</t>
  </si>
  <si>
    <t xml:space="preserve">Jun-2021 (peak)</t>
  </si>
  <si>
    <t xml:space="preserve">Jul-2022 (trough)</t>
  </si>
  <si>
    <t xml:space="preserve">Sep-2025 (IPO)</t>
  </si>
  <si>
    <t xml:space="preserve">Sep-2025 (Day-1 close)</t>
  </si>
  <si>
    <t xml:space="preserve">Post-money valuation ($mm)</t>
  </si>
  <si>
    <t xml:space="preserve">Trailing/reference revenue at time of round ($mm)</t>
  </si>
  <si>
    <t xml:space="preserve">Implied EV / Revenue multiple (x)</t>
  </si>
  <si>
    <t xml:space="preserve">F. COMPARABLE COMPANY DATA (FOR REVENUE-MULTIPLE VALUATION)</t>
  </si>
  <si>
    <t xml:space="preserve">Market Cap ($mm)</t>
  </si>
  <si>
    <t xml:space="preserve">Net Debt / (Cash) ($mm)</t>
  </si>
  <si>
    <t xml:space="preserve">LTM Revenue ($mm)</t>
  </si>
  <si>
    <t xml:space="preserve">NTM Revenue ($mm)</t>
  </si>
  <si>
    <t xml:space="preserve">LTM Revenue Growth</t>
  </si>
  <si>
    <t xml:space="preserve">Affirm Holdings (AFRM)</t>
  </si>
  <si>
    <t xml:space="preserve">PayPal Holdings (PYPL)</t>
  </si>
  <si>
    <t xml:space="preserve">Block Inc. (XYZ, incl. Afterpay/Cash App)</t>
  </si>
  <si>
    <t xml:space="preserve">Adyen N.V. (ADYEN)</t>
  </si>
  <si>
    <t xml:space="preserve">Comparable company market data (market cap, net debt, LTM/NTM revenue) is ILLUSTRATIVE and order-of-magnitude — sourced from a range of public trackers for dates around the Klarna IPO (Sep-2025) rather than a single live market-data feed, and should not be read as precise as-of-9-Sep-2025 closing figures. Replace with a live market-data feed (e.g., Bloomberg, CapIQ, FactSet) for a production/investment-grade comp set.</t>
  </si>
  <si>
    <t xml:space="preserve">$ in millions except per-share and ratio data | FY2023A–FY2025A actual, FY2026E–FY2030E projected</t>
  </si>
  <si>
    <t xml:space="preserve">OPERATING VOLUME &amp; TAKE RATE</t>
  </si>
  <si>
    <t xml:space="preserve">  GMV growth, YoY %</t>
  </si>
  <si>
    <t xml:space="preserve">  Revenue growth, YoY %</t>
  </si>
  <si>
    <t xml:space="preserve">TRANSACTION COSTS (COST OF REVENUE)</t>
  </si>
  <si>
    <t xml:space="preserve">Processing &amp; servicing costs</t>
  </si>
  <si>
    <t xml:space="preserve">Funding costs</t>
  </si>
  <si>
    <t xml:space="preserve">Total transaction costs</t>
  </si>
  <si>
    <t xml:space="preserve">Transaction margin</t>
  </si>
  <si>
    <t xml:space="preserve">  Transaction margin %</t>
  </si>
  <si>
    <t xml:space="preserve">OPERATING EXPENSES</t>
  </si>
  <si>
    <t xml:space="preserve">Technology &amp; product development</t>
  </si>
  <si>
    <t xml:space="preserve">Sales &amp; marketing</t>
  </si>
  <si>
    <t xml:space="preserve">Customer service &amp; operations</t>
  </si>
  <si>
    <t xml:space="preserve">General &amp; administrative</t>
  </si>
  <si>
    <t xml:space="preserve">Total operating expenses</t>
  </si>
  <si>
    <t xml:space="preserve">Operating profit / (loss) before D&amp;A</t>
  </si>
  <si>
    <t xml:space="preserve">  Margin %</t>
  </si>
  <si>
    <t xml:space="preserve">Memo: Adjusted Operating Profit / (Loss), as reported (non-GAAP)</t>
  </si>
  <si>
    <t xml:space="preserve">BRIDGE TO NET INCOME (GAAP)</t>
  </si>
  <si>
    <t xml:space="preserve">Depreciation, amortization &amp; impairments</t>
  </si>
  <si>
    <t xml:space="preserve">Operating profit / (loss) (GAAP)</t>
  </si>
  <si>
    <t xml:space="preserve">Other income / (expense)</t>
  </si>
  <si>
    <t xml:space="preserve">Pre-tax income / (loss)</t>
  </si>
  <si>
    <t xml:space="preserve">Income tax (expense) / benefit</t>
  </si>
  <si>
    <t xml:space="preserve">Net income / (loss), total</t>
  </si>
  <si>
    <t xml:space="preserve">Less: net income attributable to non-controlling interests</t>
  </si>
  <si>
    <t xml:space="preserve">Net income / (loss) attributable to shareholders</t>
  </si>
  <si>
    <t xml:space="preserve">PER-SHARE DATA</t>
  </si>
  <si>
    <t xml:space="preserve">Diluted EPS</t>
  </si>
  <si>
    <t xml:space="preserve">FY2023A–FY2025A Provision for credit losses, Processing &amp; servicing costs, Funding costs, Technology &amp; product development, Sales &amp; marketing, Customer service &amp; operations, General &amp; administrative, D&amp;A, Other income/(expense) and tax are ALL exact figures from Klarna Group plc's filed 6-K “Consolidated Statements of Profit or Loss for the Years Ended December 31, 2025, 2024 and 2023” (SEC EDGAR, filed with FY2025 results, Feb-2026) — not model estimates. The “Adjusted Operating Profit” memo row is the Company's own separately-disclosed non-GAAP figure (see its comment for sourcing) and does not algebraically tie to the GAAP lines above because SBC is embedded within functional expense lines in the filed statement rather than broken out. FY2026E–FY2030E projected ratios are fully assumption-driven from the Assumptions tab, recalibrated for continuity off these exact FY2025A actuals, and can be flexed there (see Stress Testing tab for credit-loss and growth sensitivities).</t>
  </si>
  <si>
    <t xml:space="preserve">$ in millions | Driver-based lender balance sheet (loans, deposits, funding, equity roll-forward) — FY2023A opening estimate, rolled forward through FY2030E, benchmarked against actual disclosed figures below</t>
  </si>
  <si>
    <t xml:space="preserve">ASSETS</t>
  </si>
  <si>
    <t xml:space="preserve">Net loans to consumers</t>
  </si>
  <si>
    <t xml:space="preserve">Memo: Capital expenditure</t>
  </si>
  <si>
    <t xml:space="preserve">Net PP&amp;E &amp; capitalized software</t>
  </si>
  <si>
    <t xml:space="preserve">Other non-PPE assets</t>
  </si>
  <si>
    <t xml:space="preserve">Cash &amp; cash equivalents</t>
  </si>
  <si>
    <t xml:space="preserve">Total assets</t>
  </si>
  <si>
    <t xml:space="preserve">LIABILITIES</t>
  </si>
  <si>
    <t xml:space="preserve">Consumer deposits</t>
  </si>
  <si>
    <t xml:space="preserve">Other borrowings (warehouse facilities &amp; ABS)</t>
  </si>
  <si>
    <t xml:space="preserve">Other liabilities</t>
  </si>
  <si>
    <t xml:space="preserve">Total liabilities</t>
  </si>
  <si>
    <t xml:space="preserve">EQUITY</t>
  </si>
  <si>
    <t xml:space="preserve">Common stock &amp; additional paid-in capital</t>
  </si>
  <si>
    <t xml:space="preserve">Retained earnings / (accumulated deficit)</t>
  </si>
  <si>
    <t xml:space="preserve">Total equity</t>
  </si>
  <si>
    <t xml:space="preserve">Total liabilities &amp; equity</t>
  </si>
  <si>
    <t xml:space="preserve">Balance check (Assets − Liab.&amp;Equity)</t>
  </si>
  <si>
    <t xml:space="preserve">MEMO: KEY BALANCE SHEET RATIOS</t>
  </si>
  <si>
    <t xml:space="preserve">Net loans / trailing GMV</t>
  </si>
  <si>
    <t xml:space="preserve">Consumer deposits / net loans</t>
  </si>
  <si>
    <t xml:space="preserve">Total assets / total equity (leverage)</t>
  </si>
  <si>
    <t xml:space="preserve">MEMO: CAPITAL ADEQUACY (ILLUSTRATIVE)</t>
  </si>
  <si>
    <t xml:space="preserve">Total equity ($mm)</t>
  </si>
  <si>
    <t xml:space="preserve">Net loans to consumers ($mm)</t>
  </si>
  <si>
    <t xml:space="preserve">Illustrative capital ratio (Total equity / Net loans)</t>
  </si>
  <si>
    <t xml:space="preserve">Target regulatory capital ratio (Assumptions tab)</t>
  </si>
  <si>
    <t xml:space="preserve">Surplus / (shortfall) vs. target</t>
  </si>
  <si>
    <t xml:space="preserve">Illustrative capital-adequacy check: Total equity here is the Company-wide consolidated equity base (NOT a formal CET1/RWA calculation under Basel III/CRR, which would require risk-weighting by product and jurisdiction), benchmarked against net loans as a simple leverage proxy for the regulated lending entity, Klarna Bank AB. This memo is a monitoring check, not a fully articulated capital-planning model, and the ratio below should NOT be read as, or compared directly to, Klarna's actual reported regulatory capital ratios. The DCF tab separately deducts an explicit regulatory-capital-drag charge from unlevered FCF as loans grow, reflecting that a portion of loan growth cannot be funded by deposits/debt alone — but the Balance Sheet's equity roll-forward (retained earnings + paid-in capital) is driven independently by GAAP net income and is not mechanically forced to track the target ratio. Flex the target ratio on the Assumptions tab to stress-test capital intensity.</t>
  </si>
  <si>
    <t xml:space="preserve">REFERENCE: ACTUAL DISCLOSED BALANCE SHEET DATA (JUNE 2025, PER SEC FILING) — NOT MODELED ABOVE</t>
  </si>
  <si>
    <t xml:space="preserve">Cash and cash equivalents</t>
  </si>
  <si>
    <t xml:space="preserve">Consumer receivables, net</t>
  </si>
  <si>
    <t xml:space="preserve">Modeled Net loans to consumers, FY2025A (for reference)</t>
  </si>
  <si>
    <t xml:space="preserve">Modeled Consumer deposits, FY2025A (for reference)</t>
  </si>
  <si>
    <t xml:space="preserve">This tab is deliberately NOT a replica of Klarna's actual statutory balance sheet (which, per the Company's SEC filings, is considerably more granular — separately staged receivables, allowance for credit losses, multiple funding facilities by type/tenor/jurisdiction, and a full regulatory capital/RWA build under Basel III/CRR). It is a driver-based proxy calibrated to move sensibly with GMV, revenue and net income for 3-statement linkage and DCF/capital-drag purposes, cross-checked here against real disclosed figures for transparency about the gap. The Cash Flow Statement, DCF and capital-adequacy outputs on this workbook should be read with that limitation in mind — for balance-sheet-level precision (e.g., actual receivables staging or funding-facility terms), refer to Klarna's SEC filings directly.</t>
  </si>
  <si>
    <t xml:space="preserve">FY2023A opening balances (Cash, PP&amp;E, paid-in capital, accumulated deficit) are illustrative estimates calibrated to be broadly consistent with disclosed cumulative fundraising (~$3.7bn pre-IPO, per Sacra) and disclosed annual net losses (Assumptions tab). All FY2024A–FY2030E balances are formula-driven off the Income Statement and Assumptions tabs and roll forward consistently; the Balance check row should equal zero (or a de minimis rounding residual) by construction — see Cash Flow Statement tab for the linking mechanics.</t>
  </si>
  <si>
    <t xml:space="preserve">$ in millions | Indirect method, fully linked to the Income Statement and Balance Sheet | FY2024A–FY2030E (FY2023A is the opening balance-sheet anchor)</t>
  </si>
  <si>
    <t xml:space="preserve">CASH FLOW FROM OPERATING ACTIVITIES</t>
  </si>
  <si>
    <t xml:space="preserve">(+) Depreciation, amortization &amp; impairments</t>
  </si>
  <si>
    <t xml:space="preserve">(+) Stock-based compensation &amp; other non-cash items</t>
  </si>
  <si>
    <t xml:space="preserve">(Increase) / decrease in other non-loan assets</t>
  </si>
  <si>
    <t xml:space="preserve">Increase / (decrease) in other liabilities</t>
  </si>
  <si>
    <t xml:space="preserve">Net cash from operating activities</t>
  </si>
  <si>
    <t xml:space="preserve">This is a standard GAAP-convention indirect-method reconciliation: SBC (and, for FY2024A/25A, the precisely-derived combined SBC/restructuring/payroll-tax non-cash addback — see cell comments) is added back to Net income here because it did not consume cash, even though it is embedded within functional opex lines rather than shown separately on the Income Statement. This differs DELIBERATELY from the DCF Valuation tab, which does NOT add SBC back to unlevered free cash flow — a conservative valuation choice (SBC is real, dilutive economic cost to shareholders) documented on the Income Statement and DCF tabs. The two tabs are intentionally NOT meant to show the same cash-flow figure: this tab is the accounting cash-flow statement; the DCF tab is a deliberately more conservative valuation cash-flow build.</t>
  </si>
  <si>
    <t xml:space="preserve">CASH FLOW FROM INVESTING ACTIVITIES</t>
  </si>
  <si>
    <t xml:space="preserve">Capital expenditure</t>
  </si>
  <si>
    <t xml:space="preserve">Increase in net loans to consumers</t>
  </si>
  <si>
    <t xml:space="preserve">Net cash from investing activities</t>
  </si>
  <si>
    <t xml:space="preserve">CASH FLOW FROM FINANCING ACTIVITIES</t>
  </si>
  <si>
    <t xml:space="preserve">Increase in consumer deposits</t>
  </si>
  <si>
    <t xml:space="preserve">Increase in other borrowings</t>
  </si>
  <si>
    <t xml:space="preserve">IPO proceeds (net primary issuance)</t>
  </si>
  <si>
    <t xml:space="preserve">Net cash from financing activities</t>
  </si>
  <si>
    <t xml:space="preserve">Net increase / (decrease) in cash</t>
  </si>
  <si>
    <t xml:space="preserve">Beginning cash &amp; cash equivalents</t>
  </si>
  <si>
    <t xml:space="preserve">Ending cash &amp; cash equivalents</t>
  </si>
  <si>
    <t xml:space="preserve">Indirect-method cash flow statement fully linked to the Income Statement (Net income, D&amp;A, SBC) and Balance Sheet (changes in loans, deposits, other borrowings, other assets/liabilities). Ending cash flows back onto the Balance Sheet's Cash &amp; cash equivalents line, closing the loop of the three-statement model — see the Balance Sheet's "Balance check" row, which should equal zero by construction. FY2025A financing activities include the Company's ~$200mm gross primary IPO proceeds; secondary (selling-shareholder) share sales are excluded as they raise no cash for the Company.</t>
  </si>
  <si>
    <t xml:space="preserve">Illustrative Unlevered FCF DCF</t>
  </si>
  <si>
    <t xml:space="preserve">$ in millions except per-share data | Unlevered free cash flow, FY2026E–FY2030E explicit period + Gordon Growth terminal value — ONE input to the valuation, not a definitive intrinsic value (see methodology note below)</t>
  </si>
  <si>
    <t xml:space="preserve">METHODOLOGY CAVEAT: this tab applies a standard corporate unlevered-FCF DCF (EBIT → NOPAT → +D&amp;A − Capex − ΔNWC → WACC-discounted Enterprise Value). For a regulated financial institution like Klarna — where deposits/wholesale funding ARE the operating capital structure, loan growth consumes regulatory capital, and interest income/expense is integral to the business rather than a financing afterthought — this is a simplified, hybrid treatment, not a conventional bank valuation methodology. A more rigorous banking valuation would typically triangulate P/E, Price/Book (or Price/Tangible Book) and a residual-income / excess-return-on-equity model, using EV/Revenue (see Comps tab) only as a supplemental cross-check. The "Regulatory capital retained to support loan growth" line below is this model's attempt to partially bridge that gap within a standard DCF framework — treat the output here as ONE illustrative data point in the Football Field triangulation, not a definitive intrinsic value.</t>
  </si>
  <si>
    <t xml:space="preserve">UNLEVERED FREE CASH FLOW BUILD</t>
  </si>
  <si>
    <t xml:space="preserve">Operating profit / (loss) (GAAP, = EBIT)</t>
  </si>
  <si>
    <t xml:space="preserve">Less: cash taxes on EBIT</t>
  </si>
  <si>
    <t xml:space="preserve">Tax-effected operating profit (NOPAT)</t>
  </si>
  <si>
    <t xml:space="preserve">(+) D&amp;A</t>
  </si>
  <si>
    <t xml:space="preserve">(−) Capital expenditure</t>
  </si>
  <si>
    <t xml:space="preserve">(−) Increase in other (non-loan) net working capital</t>
  </si>
  <si>
    <t xml:space="preserve">(−) Regulatory capital retained to support loan growth</t>
  </si>
  <si>
    <t xml:space="preserve">Loan-book growth (net loans to consumers) itself is excluded from unlevered FCF — it is treated as substantially matched-funded by consumer deposits and warehouse/ABS facilities (see Balance Sheet tab), consistent with the short-duration, high-turnover nature of Klarna's receivables and with funding costs already reducing Adjusted Operating Profit above. However, as a licensed bank (Klarna Bank AB) Klarna cannot fund 100% of loan growth with deposits/wholesale debt under Basel III/CRR capital-adequacy rules: a portion of incremental loans must be supported by retained equity capital that is NOT distributable to shareholders. The line above makes this capital-adequacy drag explicit — applying an illustrative 2–3% incremental capital ratio to loan-book growth (a deliberately conservative INCREMENTAL buffer, not a full Basel III/CRR total capital ratio, since ~100% of loan growth is already modeled as debt/deposit-funded on the Balance Sheet — see that tab's capital-ratio comment for the full rationale) — rather than implicitly assuming Klarna can grow its loan book indefinitely at zero capital cost, which would otherwise overstate terminal value for a credit-exposed fintech. See Balance Sheet tab's "Capital Adequacy" memo and the Assumptions tab (Section C) to flex this as a stress-test lever.</t>
  </si>
  <si>
    <t xml:space="preserve">Unlevered free cash flow</t>
  </si>
  <si>
    <t xml:space="preserve">DISCOUNTING</t>
  </si>
  <si>
    <t xml:space="preserve">Discount period (mid-year convention)</t>
  </si>
  <si>
    <t xml:space="preserve">Discount factor @ WACC</t>
  </si>
  <si>
    <t xml:space="preserve">PV of unlevered FCF</t>
  </si>
  <si>
    <t xml:space="preserve">TERMINAL VALUE (GORDON GROWTH)</t>
  </si>
  <si>
    <t xml:space="preserve">Final-year (FY2030E) unlevered FCF</t>
  </si>
  <si>
    <t xml:space="preserve">Terminal value (undiscounted, as of FY2030E)</t>
  </si>
  <si>
    <t xml:space="preserve">  Memo: FY2030E EBIT / Operating profit (GAAP) ($mm)</t>
  </si>
  <si>
    <t xml:space="preserve">  Implied terminal-year EV / EBIT (x)</t>
  </si>
  <si>
    <t xml:space="preserve">Discount factor for terminal value (FY2030E, year-end)</t>
  </si>
  <si>
    <t xml:space="preserve">PV of terminal value</t>
  </si>
  <si>
    <t xml:space="preserve">ENTERPRISE VALUE → EQUITY VALUE → PER-SHARE VALUE</t>
  </si>
  <si>
    <t xml:space="preserve">Sum of PV of explicit-period unlevered FCF</t>
  </si>
  <si>
    <t xml:space="preserve">(+) PV of terminal value</t>
  </si>
  <si>
    <t xml:space="preserve">Implied Enterprise Value</t>
  </si>
  <si>
    <t xml:space="preserve">% of EV from terminal value</t>
  </si>
  <si>
    <t xml:space="preserve">(−) Net debt / (+) net cash at IPO</t>
  </si>
  <si>
    <t xml:space="preserve">Implied Equity Value</t>
  </si>
  <si>
    <t xml:space="preserve">Implied value per share</t>
  </si>
  <si>
    <t xml:space="preserve">Memo: Actual IPO price per share</t>
  </si>
  <si>
    <t xml:space="preserve">Memo: Actual Day-1 close per share</t>
  </si>
  <si>
    <t xml:space="preserve">Implied upside / (downside) vs. IPO price</t>
  </si>
  <si>
    <t xml:space="preserve">Mid-year discounting convention applied to the explicit FY2026E–FY2030E period (discount periods 0.5, 1.5, ... 4.5) to reflect cash flows generated evenly throughout each year rather than only at year-end; the terminal value is discounted using a full 5.0-year period as it represents a value as of the end of FY2030E. WACC and terminal growth rate are set on the Assumptions tab (Section D) and can be flexed there or via the Stress Testing tab's two-way sensitivity grid. Terminal-value sanity check: the Gordon Growth terminal value implies an EV/Adjusted-Operating-Profit multiple in the terminal year (see rows above) — a useful cross-check against a plausible steady-state exit multiple for a mature, moderately-levered consumer fintech (for reference, a healthy-but-not-euphoric payments/fintech typically supports high-single-digit to low-double-digit EV/EBIT multiples at maturity).</t>
  </si>
  <si>
    <t xml:space="preserve">Illustrative Comparable Company Benchmarking — Revenue Multiples</t>
  </si>
  <si>
    <t xml:space="preserve">$ in millions except multiples | Illustrative benchmarking of Klarna's IPO pricing against selected payments / consumer-fintech peers — comp market data below is order-of-magnitude/illustrative, not a live market-data feed (see note)</t>
  </si>
  <si>
    <t xml:space="preserve">COMPARABLE COMPANY SET</t>
  </si>
  <si>
    <t xml:space="preserve">Market Cap</t>
  </si>
  <si>
    <t xml:space="preserve">Net Debt/(Cash)</t>
  </si>
  <si>
    <t xml:space="preserve">Enterprise Value</t>
  </si>
  <si>
    <t xml:space="preserve">LTM Revenue</t>
  </si>
  <si>
    <t xml:space="preserve">NTM Revenue</t>
  </si>
  <si>
    <t xml:space="preserve">EV / LTM Rev</t>
  </si>
  <si>
    <t xml:space="preserve">EV / NTM Rev</t>
  </si>
  <si>
    <t xml:space="preserve">LTM Rev Growth</t>
  </si>
  <si>
    <t xml:space="preserve">Mean</t>
  </si>
  <si>
    <t xml:space="preserve">Median</t>
  </si>
  <si>
    <t xml:space="preserve">Median — Affirm only (direct, pure-play BNPL peer)</t>
  </si>
  <si>
    <t xml:space="preserve">The broad Mean/Median above are dragged toward the lower end by PayPal and Block, which are large, diversified, lower-growth businesses only partially exposed to BNPL — and by Adyen, which (despite trading at a premium multiple) is a global payments-acquiring platform, not a direct BNPL comparable, so it is excluded from this narrower reference point rather than averaged in as a "BNPL peer." Affirm is the closest direct, pure-play BNPL/consumer-credit comparable to Klarna. This Affirm-only reference point is the more decision-relevant one for BNPL-specific benchmarking and is consistent with the Applied EV/Revenue range (3.0x–5.5x) used below, which sits below Affirm's own multiple — reflecting Klarna's thinner net margins and heavier consumer-credit exposure at IPO relative to Affirm. Consider also SoFi Technologies as a further consumer-fintech reference point in a production comp set (not included here).</t>
  </si>
  <si>
    <t xml:space="preserve">APPLIED MULTIPLE RANGE &amp; IMPLIED KLARNA VALUATION</t>
  </si>
  <si>
    <t xml:space="preserve">Low</t>
  </si>
  <si>
    <t xml:space="preserve">Selected / Mid</t>
  </si>
  <si>
    <t xml:space="preserve">High</t>
  </si>
  <si>
    <t xml:space="preserve">Applied EV / Revenue multiple (x)</t>
  </si>
  <si>
    <t xml:space="preserve">Reference revenue basis</t>
  </si>
  <si>
    <t xml:space="preserve">FY2026E Revenue</t>
  </si>
  <si>
    <t xml:space="preserve">Klarna FY2026E Revenue ($mm)</t>
  </si>
  <si>
    <t xml:space="preserve">Implied Enterprise Value ($mm)</t>
  </si>
  <si>
    <t xml:space="preserve">(−) Net debt / (+) net cash</t>
  </si>
  <si>
    <t xml:space="preserve">Implied Equity Value ($mm)</t>
  </si>
  <si>
    <t xml:space="preserve">Applying the Company's actual FY2026E revenue against a 3.0x–5.5x EV/Revenue range (informed by the comp set above and Sacra's reported IPO revenue-multiple target of 3.5–5x) brackets an implied equity value of roughly $12–$23bn, comfortably spanning the $15.1bn IPO price and $19.65bn Day-1 close — see Football Field tab for the full triangulation against the DCF.</t>
  </si>
  <si>
    <t xml:space="preserve">Valuation Re-Rating Bridge</t>
  </si>
  <si>
    <t xml:space="preserve">$ in millions except per-share and multiple data | Decomposing Klarna's path from $46bn (2021 peak) to $6.7bn (2022 trough) to $15bn (2025 IPO)</t>
  </si>
  <si>
    <t xml:space="preserve">VALUATION HISTORY TIMELINE</t>
  </si>
  <si>
    <t xml:space="preserve">Jun-2021 (Peak)</t>
  </si>
  <si>
    <t xml:space="preserve">Jul-2022 (Trough)</t>
  </si>
  <si>
    <t xml:space="preserve">Sep-2025 (Day-1)</t>
  </si>
  <si>
    <t xml:space="preserve">Reference LTM revenue ($mm)</t>
  </si>
  <si>
    <t xml:space="preserve">Change in valuation vs. prior milestone</t>
  </si>
  <si>
    <t xml:space="preserve">DECOMPOSITION: REVENUE GROWTH EFFECT vs. MULTIPLE RE-RATING EFFECT</t>
  </si>
  <si>
    <t xml:space="preserve">Standard two-factor bridge: ΔValue = (Multiple₀ × ΔRevenue) + (Revenue₁ × ΔMultiple). Decomposes each leg of the valuation history into how much was driven by growing the revenue base vs. how much was driven by the market re-rating the multiple investors were willing to pay for that revenue.</t>
  </si>
  <si>
    <t xml:space="preserve">LEG 1: PEAK (JUN-2021) → TROUGH (JUL-2022)</t>
  </si>
  <si>
    <t xml:space="preserve">Valuation, Jun-2021 Peak ($mm)</t>
  </si>
  <si>
    <t xml:space="preserve">(+) Revenue growth effect</t>
  </si>
  <si>
    <t xml:space="preserve">(+) Multiple re-rating effect</t>
  </si>
  <si>
    <t xml:space="preserve">Valuation, Jul-2022 Trough ($mm)</t>
  </si>
  <si>
    <t xml:space="preserve">Check vs. actual (should be ~0)</t>
  </si>
  <si>
    <t xml:space="preserve">LEG 2: TROUGH (JUL-2022) → IPO (SEP-2025)</t>
  </si>
  <si>
    <t xml:space="preserve">Valuation, Sep-2025 IPO ($mm)</t>
  </si>
  <si>
    <t xml:space="preserve">LEG 3: IPO PRICE → DAY-1 CLOSE (SEP-2025, SAME-DAY)</t>
  </si>
  <si>
    <t xml:space="preserve">Valuation, Sep-2025 IPO Price ($mm)</t>
  </si>
  <si>
    <t xml:space="preserve">Valuation, Sep-2025 Day-1 Close ($mm)</t>
  </si>
  <si>
    <t xml:space="preserve">WATERFALL SUMMARY (FOR CHART)</t>
  </si>
  <si>
    <t xml:space="preserve">Jun-2021 Peak</t>
  </si>
  <si>
    <t xml:space="preserve">Level</t>
  </si>
  <si>
    <t xml:space="preserve">Leg 1: Revenue growth</t>
  </si>
  <si>
    <t xml:space="preserve">Change</t>
  </si>
  <si>
    <t xml:space="preserve">Leg 1: Multiple re-rating</t>
  </si>
  <si>
    <t xml:space="preserve">Jul-2022 Trough</t>
  </si>
  <si>
    <t xml:space="preserve">Leg 2: Revenue growth</t>
  </si>
  <si>
    <t xml:space="preserve">Leg 2: Multiple re-rating</t>
  </si>
  <si>
    <t xml:space="preserve">Sep-2025 IPO Price</t>
  </si>
  <si>
    <t xml:space="preserve">Leg 3: Day-1 pop</t>
  </si>
  <si>
    <t xml:space="preserve">Sep-2025 Day-1 Close</t>
  </si>
  <si>
    <t xml:space="preserve">Reading the bridge: the 2021→2022 collapse (-85%) was driven overwhelmingly by multiple compression (growth-at-all-costs euphoria unwinding as rates rose and BNPL regulatory scrutiny increased) rather than a revenue decline — Klarna's revenue continued growing throughout. The 2022→2025 recovery to a $15.1bn IPO price similarly reflects a partial re-rating of the multiple (from a distressed trough level back toward a level that credits Klarna's shift to disciplined, profitable growth) combined with continued revenue growth. The IPO-day pop to $19.65bn reflects order-book oversubscription (~26x, per Investing.com) and first-day price discovery rather than any change in fundamentals.</t>
  </si>
  <si>
    <t xml:space="preserve">Chart helper (stacked-bar waterfall construction)</t>
  </si>
  <si>
    <t xml:space="preserve">Base (invisible)</t>
  </si>
  <si>
    <t xml:space="preserve">Value shown</t>
  </si>
  <si>
    <t xml:space="preserve">Stress Testing &amp; Sensitivity Analysis</t>
  </si>
  <si>
    <t xml:space="preserve">Two-way sensitivity grids flexing WACC/terminal growth and GMV growth/credit-loss assumptions against DCF-implied value per share</t>
  </si>
  <si>
    <t xml:space="preserve">GRID 1: WACC vs. TERMINAL GROWTH RATE → IMPLIED VALUE PER SHARE ($)</t>
  </si>
  <si>
    <t xml:space="preserve">Recomputes the full DCF (unlevered FCF build unchanged) at each WACC / terminal-growth pair. Base case highlighted.</t>
  </si>
  <si>
    <t xml:space="preserve">WACC ↓  /  Terminal growth →</t>
  </si>
  <si>
    <t xml:space="preserve">Memo: base-case WACC (Assumptions tab)</t>
  </si>
  <si>
    <t xml:space="preserve">Memo: base-case terminal growth (Assumptions tab)</t>
  </si>
  <si>
    <t xml:space="preserve">GRID 2: FY2026E GMV GROWTH vs. CREDIT-LOSS RATE (% OF GMV) → IMPLIED VALUE PER SHARE ($)</t>
  </si>
  <si>
    <t xml:space="preserve">Flexes the single most important growth lever (FY2026E GMV growth, with all subsequent years' growth shifted by the same delta) and the single most important credit/profitability lever (FY2026E credit-loss rate as %GMV, with subsequent years shifted by the same delta) simultaneously through the full 3-statement model and DCF. This directly pressure-tests the profitability inflection Klarna reached in FY2024–FY2025 (its first annual profit, then a return to net loss amid IPO-related SBC/one-offs) against a deterioration in underwriting quality or a growth slowdown.</t>
  </si>
  <si>
    <t xml:space="preserve">GMV growth Δ ↓  /  Credit-loss rate Δ →</t>
  </si>
  <si>
    <t xml:space="preserve">Row/column deltas are applied uniformly across FY2026E–FY2030E on top of the Assumptions-tab base case; positive credit-loss Δ = deteriorating (higher-loss) underwriting, negative = improving underwriting.</t>
  </si>
  <si>
    <t xml:space="preserve">BEAR / BASE / BULL SCENARIO SUMMARY</t>
  </si>
  <si>
    <t xml:space="preserve">Bear Case</t>
  </si>
  <si>
    <t xml:space="preserve">Base Case</t>
  </si>
  <si>
    <t xml:space="preserve">Bull Case</t>
  </si>
  <si>
    <t xml:space="preserve">FY2026E-30E avg. GMV growth Δ vs. base</t>
  </si>
  <si>
    <t xml:space="preserve">FY2026E-30E credit-loss rate Δ vs. base</t>
  </si>
  <si>
    <t xml:space="preserve">WACC applied</t>
  </si>
  <si>
    <t xml:space="preserve">Implied DCF value per share ($)</t>
  </si>
  <si>
    <t xml:space="preserve">Implied equity value ($mm)</t>
  </si>
  <si>
    <t xml:space="preserve">Bear case combines slower growth, higher credit losses AND a higher discount rate (reflecting the market demanding more compensation for both weaker fundamentals and higher perceived risk) — directly analogous to the dynamics behind Klarna's actual 2022 down-round. Bull case combines faster growth, better credit performance and a lower discount rate, analogous to the disciplined-profitable-growth narrative behind the 2025 IPO re-rating.</t>
  </si>
  <si>
    <t xml:space="preserve">Football Field — Valuation Summary</t>
  </si>
  <si>
    <t xml:space="preserve">Implied equity value ($bn) across methodologies, triangulated against Klarna's actual IPO pricing</t>
  </si>
  <si>
    <t xml:space="preserve">VALUATION SUMMARY (IMPLIED EQUITY VALUE, $BN)</t>
  </si>
  <si>
    <t xml:space="preserve">DCF — Bear/Bull scenario range</t>
  </si>
  <si>
    <t xml:space="preserve">Precedent: 2022 down round (trough)</t>
  </si>
  <si>
    <t xml:space="preserve">DCF — WACC/growth sensitivity range (Grid 1)</t>
  </si>
  <si>
    <t xml:space="preserve">DCF — Base case (point estimate)</t>
  </si>
  <si>
    <t xml:space="preserve">EV/Revenue comps (3.0x–5.5x FY2026E)</t>
  </si>
  <si>
    <t xml:space="preserve">Actual: IPO offer price</t>
  </si>
  <si>
    <t xml:space="preserve">Actual: Day-1 closing price</t>
  </si>
  <si>
    <t xml:space="preserve">Precedent: 2021 SoftBank round (peak)</t>
  </si>
  <si>
    <t xml:space="preserve">Chart helper</t>
  </si>
  <si>
    <t xml:space="preserve">Range (visible)</t>
  </si>
  <si>
    <t xml:space="preserve">The two methodologies tell different stories here, and that gap is itself informative. The Illustrative Unlevered FCF DCF (base case $9.1bn / $24.10 per share) sits BELOW the $15.1bn IPO price and $19.65bn Day-1 close — unsurprising given ~83% of the DCF's enterprise value comes from the Gordon Growth terminal value (see DCF Valuation tab), and given the methodology caveat on that tab: a standard corporate unlevered-FCF DCF is a simplification for a regulated, credit-exposed digital bank, and this output should be read as one illustrative data point, not a definitive intrinsic value. The EV/Revenue comps range ($14.4bn–$25.4bn) brackets the IPO price and Day-1 close far more comfortably, consistent with the IPO being priced with reference to public trading multiples (Affirm's own implied multiple, adjusted downward for Klarna's thinner near-term margins) more than to a pure discounted-cash-flow view. The 2021 peak ($45.6bn) and 2022 trough ($6.7bn) sit far outside every fundamentals-based range in this analysis, reinforcing the Re-Rating Bridge tab's conclusion that both were driven primarily by multiple re-rating (sentiment/macro) rather than changes in the underlying business.</t>
  </si>
</sst>
</file>

<file path=xl/styles.xml><?xml version="1.0" encoding="utf-8"?>
<styleSheet xmlns="http://schemas.openxmlformats.org/spreadsheetml/2006/main">
  <numFmts count="14">
    <numFmt numFmtId="164" formatCode="General"/>
    <numFmt numFmtId="165" formatCode="#,##0;\(#,##0\);\-"/>
    <numFmt numFmtId="166" formatCode="0.0%;\(0.0%\);\-"/>
    <numFmt numFmtId="167" formatCode="0.00%;\(0.00%\);\-"/>
    <numFmt numFmtId="168" formatCode="#,##0"/>
    <numFmt numFmtId="169" formatCode="\$#,##0.00;&quot;($&quot;#,##0.00\)"/>
    <numFmt numFmtId="170" formatCode="#,##0.0"/>
    <numFmt numFmtId="171" formatCode="0.00\x"/>
    <numFmt numFmtId="172" formatCode="@"/>
    <numFmt numFmtId="173" formatCode="#,##0.00;\(#,##0.00\);\-"/>
    <numFmt numFmtId="174" formatCode="0.0\x"/>
    <numFmt numFmtId="175" formatCode="#,##0.0;\(#,##0.0\);\-"/>
    <numFmt numFmtId="176" formatCode="\+0.00%;\-0.00%;0.00%"/>
    <numFmt numFmtId="177" formatCode="\+0%;\-0%;0%"/>
  </numFmts>
  <fonts count="28">
    <font>
      <sz val="11"/>
      <color theme="1"/>
      <name val="Calibri"/>
      <family val="2"/>
      <charset val="1"/>
    </font>
    <font>
      <sz val="10"/>
      <name val="Arial"/>
      <family val="0"/>
    </font>
    <font>
      <sz val="10"/>
      <name val="Arial"/>
      <family val="0"/>
    </font>
    <font>
      <sz val="10"/>
      <name val="Arial"/>
      <family val="0"/>
    </font>
    <font>
      <b val="true"/>
      <sz val="22"/>
      <color rgb="FF1F2A44"/>
      <name val="Arial"/>
      <family val="0"/>
      <charset val="1"/>
    </font>
    <font>
      <sz val="15"/>
      <color rgb="FF2F5496"/>
      <name val="Arial"/>
      <family val="0"/>
      <charset val="1"/>
    </font>
    <font>
      <i val="true"/>
      <sz val="10"/>
      <color rgb="FF595959"/>
      <name val="Arial"/>
      <family val="0"/>
      <charset val="1"/>
    </font>
    <font>
      <b val="true"/>
      <sz val="10"/>
      <color rgb="FF000000"/>
      <name val="Arial"/>
      <family val="0"/>
      <charset val="1"/>
    </font>
    <font>
      <b val="true"/>
      <sz val="10"/>
      <color rgb="FFFFFFFF"/>
      <name val="Arial"/>
      <family val="0"/>
      <charset val="1"/>
    </font>
    <font>
      <sz val="10"/>
      <color rgb="FF000000"/>
      <name val="Arial"/>
      <family val="0"/>
      <charset val="1"/>
    </font>
    <font>
      <i val="true"/>
      <sz val="9"/>
      <color rgb="FF595959"/>
      <name val="Arial"/>
      <family val="0"/>
      <charset val="1"/>
    </font>
    <font>
      <sz val="9.5"/>
      <name val="Arial"/>
      <family val="0"/>
      <charset val="1"/>
    </font>
    <font>
      <b val="true"/>
      <sz val="9.5"/>
      <color rgb="FF0000FF"/>
      <name val="Arial"/>
      <family val="0"/>
      <charset val="1"/>
    </font>
    <font>
      <b val="true"/>
      <sz val="9.5"/>
      <color rgb="FF000000"/>
      <name val="Arial"/>
      <family val="0"/>
      <charset val="1"/>
    </font>
    <font>
      <b val="true"/>
      <sz val="9.5"/>
      <color rgb="FF008000"/>
      <name val="Arial"/>
      <family val="0"/>
      <charset val="1"/>
    </font>
    <font>
      <b val="true"/>
      <sz val="9.5"/>
      <name val="Arial"/>
      <family val="0"/>
      <charset val="1"/>
    </font>
    <font>
      <i val="true"/>
      <sz val="8"/>
      <color rgb="FF7F7F7F"/>
      <name val="Arial"/>
      <family val="0"/>
      <charset val="1"/>
    </font>
    <font>
      <b val="true"/>
      <sz val="16"/>
      <color rgb="FF1F2A44"/>
      <name val="Arial"/>
      <family val="0"/>
      <charset val="1"/>
    </font>
    <font>
      <i val="true"/>
      <sz val="11"/>
      <color rgb="FF595959"/>
      <name val="Arial"/>
      <family val="0"/>
      <charset val="1"/>
    </font>
    <font>
      <i val="true"/>
      <sz val="10"/>
      <name val="Arial"/>
      <family val="0"/>
      <charset val="1"/>
    </font>
    <font>
      <sz val="10"/>
      <name val="Arial"/>
      <family val="0"/>
      <charset val="1"/>
    </font>
    <font>
      <sz val="10"/>
      <color rgb="FF0000FF"/>
      <name val="Arial"/>
      <family val="0"/>
      <charset val="1"/>
    </font>
    <font>
      <b val="true"/>
      <sz val="10"/>
      <name val="Arial"/>
      <family val="0"/>
      <charset val="1"/>
    </font>
    <font>
      <sz val="10"/>
      <name val="Arial"/>
      <family val="2"/>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2A44"/>
        <bgColor rgb="FF003366"/>
      </patternFill>
    </fill>
    <fill>
      <patternFill patternType="solid">
        <fgColor rgb="FFFFF2CC"/>
        <bgColor rgb="FFE2EFDA"/>
      </patternFill>
    </fill>
    <fill>
      <patternFill patternType="solid">
        <fgColor rgb="FF2F5496"/>
        <bgColor rgb="FF595959"/>
      </patternFill>
    </fill>
    <fill>
      <patternFill patternType="solid">
        <fgColor rgb="FFE2EFDA"/>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21" fillId="0" borderId="0" xfId="0" applyFont="true" applyBorder="false" applyAlignment="false" applyProtection="false">
      <alignment horizontal="general" vertical="bottom" textRotation="0" wrapText="false" indent="0" shrinkToFit="false"/>
      <protection locked="true" hidden="false"/>
    </xf>
    <xf numFmtId="169" fontId="21" fillId="0" borderId="0" xfId="0"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21" fillId="3" borderId="0" xfId="0" applyFont="true" applyBorder="false" applyAlignment="false" applyProtection="false">
      <alignment horizontal="general" vertical="bottom" textRotation="0" wrapText="false" indent="0" shrinkToFit="false"/>
      <protection locked="true" hidden="false"/>
    </xf>
    <xf numFmtId="167" fontId="21" fillId="3" borderId="0" xfId="0" applyFont="true" applyBorder="false" applyAlignment="false" applyProtection="false">
      <alignment horizontal="general" vertical="bottom" textRotation="0" wrapText="false" indent="0" shrinkToFit="false"/>
      <protection locked="true" hidden="false"/>
    </xf>
    <xf numFmtId="165" fontId="21" fillId="3" borderId="0" xfId="0" applyFont="true" applyBorder="false" applyAlignment="false" applyProtection="false">
      <alignment horizontal="general" vertical="bottom" textRotation="0" wrapText="false" indent="0" shrinkToFit="false"/>
      <protection locked="true" hidden="false"/>
    </xf>
    <xf numFmtId="170" fontId="21" fillId="3" borderId="0" xfId="0" applyFont="true" applyBorder="false" applyAlignment="false" applyProtection="false">
      <alignment horizontal="general" vertical="bottom" textRotation="0" wrapText="false" indent="0" shrinkToFit="false"/>
      <protection locked="true" hidden="false"/>
    </xf>
    <xf numFmtId="171" fontId="21" fillId="3" borderId="0" xfId="0" applyFont="true" applyBorder="false" applyAlignment="false" applyProtection="false">
      <alignment horizontal="general" vertical="bottom" textRotation="0" wrapText="false" indent="0" shrinkToFit="false"/>
      <protection locked="true" hidden="false"/>
    </xf>
    <xf numFmtId="167" fontId="22" fillId="5" borderId="0" xfId="0" applyFont="true" applyBorder="false" applyAlignment="false" applyProtection="false">
      <alignment horizontal="general" vertical="bottom" textRotation="0" wrapText="false" indent="0" shrinkToFit="false"/>
      <protection locked="true" hidden="false"/>
    </xf>
    <xf numFmtId="172" fontId="21"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1"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2" shrinkToFit="false"/>
      <protection locked="true" hidden="false"/>
    </xf>
    <xf numFmtId="164" fontId="20" fillId="0" borderId="0" xfId="0" applyFont="true" applyBorder="false" applyAlignment="true" applyProtection="false">
      <alignment horizontal="left" vertical="bottom" textRotation="0" wrapText="false" indent="1" shrinkToFit="false"/>
      <protection locked="true" hidden="false"/>
    </xf>
    <xf numFmtId="167" fontId="24" fillId="0" borderId="0" xfId="0" applyFont="true" applyBorder="false" applyAlignment="false" applyProtection="false">
      <alignment horizontal="general" vertical="bottom" textRotation="0" wrapText="false" indent="0" shrinkToFit="false"/>
      <protection locked="true" hidden="false"/>
    </xf>
    <xf numFmtId="165" fontId="22" fillId="0" borderId="2" xfId="0" applyFont="true" applyBorder="true" applyAlignment="false" applyProtection="false">
      <alignment horizontal="general" vertical="bottom" textRotation="0" wrapText="false" indent="0" shrinkToFit="false"/>
      <protection locked="true" hidden="false"/>
    </xf>
    <xf numFmtId="170" fontId="24" fillId="0" borderId="0" xfId="0" applyFont="true" applyBorder="false" applyAlignment="false" applyProtection="false">
      <alignment horizontal="general" vertical="bottom" textRotation="0" wrapText="false" indent="0" shrinkToFit="false"/>
      <protection locked="true" hidden="false"/>
    </xf>
    <xf numFmtId="169" fontId="22" fillId="0" borderId="2" xfId="0" applyFont="true" applyBorder="true" applyAlignment="false" applyProtection="false">
      <alignment horizontal="general" vertical="bottom" textRotation="0" wrapText="false" indent="0" shrinkToFit="false"/>
      <protection locked="true" hidden="false"/>
    </xf>
    <xf numFmtId="173" fontId="9" fillId="5"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6" fontId="24" fillId="0" borderId="0" xfId="0" applyFont="true" applyBorder="false" applyAlignment="false" applyProtection="false">
      <alignment horizontal="general" vertical="bottom" textRotation="0" wrapText="false" indent="0" shrinkToFit="false"/>
      <protection locked="true" hidden="false"/>
    </xf>
    <xf numFmtId="174" fontId="21" fillId="0" borderId="0" xfId="0" applyFont="true" applyBorder="false" applyAlignment="false" applyProtection="false">
      <alignment horizontal="general" vertical="bottom" textRotation="0" wrapText="false" indent="0" shrinkToFit="false"/>
      <protection locked="true" hidden="false"/>
    </xf>
    <xf numFmtId="171" fontId="24" fillId="0" borderId="0" xfId="0" applyFont="true" applyBorder="false" applyAlignment="false" applyProtection="false">
      <alignment horizontal="general" vertical="bottom"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71" fontId="22" fillId="3"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5" fontId="22" fillId="5"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9" fontId="22" fillId="5"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6" fontId="22" fillId="0" borderId="0" xfId="0" applyFont="true" applyBorder="false" applyAlignment="false" applyProtection="false">
      <alignment horizontal="general" vertical="bottom" textRotation="0" wrapText="false" indent="0" shrinkToFit="false"/>
      <protection locked="true" hidden="false"/>
    </xf>
    <xf numFmtId="171" fontId="22" fillId="0" borderId="2" xfId="0" applyFont="true" applyBorder="true" applyAlignment="false" applyProtection="false">
      <alignment horizontal="general" vertical="bottom" textRotation="0" wrapText="false" indent="0" shrinkToFit="false"/>
      <protection locked="true" hidden="false"/>
    </xf>
    <xf numFmtId="171" fontId="22" fillId="0" borderId="0" xfId="0" applyFont="true" applyBorder="false" applyAlignment="false" applyProtection="false">
      <alignment horizontal="general" vertical="bottom" textRotation="0" wrapText="fals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5" fontId="24" fillId="0" borderId="0" xfId="0" applyFont="true" applyBorder="true" applyAlignment="false" applyProtection="false">
      <alignment horizontal="general" vertical="bottom" textRotation="0" wrapText="false" indent="0" shrinkToFit="false"/>
      <protection locked="true" hidden="false"/>
    </xf>
    <xf numFmtId="175"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6" fontId="8" fillId="4" borderId="0" xfId="0" applyFont="true" applyBorder="false" applyAlignment="true" applyProtection="false">
      <alignment horizontal="center" vertical="bottom" textRotation="0" wrapText="false" indent="0" shrinkToFit="false"/>
      <protection locked="true" hidden="false"/>
    </xf>
    <xf numFmtId="167" fontId="8" fillId="4" borderId="0" xfId="0" applyFont="true" applyBorder="false" applyAlignment="false" applyProtection="false">
      <alignment horizontal="general" vertical="bottom" textRotation="0" wrapText="false" indent="0" shrinkToFit="false"/>
      <protection locked="true" hidden="false"/>
    </xf>
    <xf numFmtId="169" fontId="22" fillId="3" borderId="0" xfId="0" applyFont="true" applyBorder="false" applyAlignment="false" applyProtection="false">
      <alignment horizontal="general" vertical="bottom" textRotation="0" wrapText="false" indent="0" shrinkToFit="false"/>
      <protection locked="true" hidden="false"/>
    </xf>
    <xf numFmtId="176" fontId="8" fillId="4" borderId="0" xfId="0" applyFont="true" applyBorder="false" applyAlignment="true" applyProtection="false">
      <alignment horizontal="center" vertical="bottom" textRotation="0" wrapText="false" indent="0" shrinkToFit="false"/>
      <protection locked="true" hidden="false"/>
    </xf>
    <xf numFmtId="177" fontId="8"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xf numFmtId="177" fontId="21" fillId="0" borderId="0" xfId="0" applyFont="true" applyBorder="false" applyAlignment="false" applyProtection="false">
      <alignment horizontal="general" vertical="bottom" textRotation="0" wrapText="false" indent="0" shrinkToFit="false"/>
      <protection locked="true" hidden="false"/>
    </xf>
    <xf numFmtId="176" fontId="21" fillId="0" borderId="0" xfId="0" applyFont="true" applyBorder="false" applyAlignment="false" applyProtection="fals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595959"/>
      <rgbColor rgb="FF878787"/>
      <rgbColor rgb="FF003366"/>
      <rgbColor rgb="FF339966"/>
      <rgbColor rgb="FF003300"/>
      <rgbColor rgb="FF375623"/>
      <rgbColor rgb="FF993300"/>
      <rgbColor rgb="FF993366"/>
      <rgbColor rgb="FF2F5496"/>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Klarna Valuation Re-Rating Waterfall ($mm)</a:t>
            </a:r>
          </a:p>
        </c:rich>
      </c:tx>
      <c:overlay val="0"/>
      <c:spPr>
        <a:noFill/>
        <a:ln w="0">
          <a:noFill/>
        </a:ln>
      </c:spPr>
    </c:title>
    <c:autoTitleDeleted val="0"/>
    <c:plotArea>
      <c:barChart>
        <c:barDir val="col"/>
        <c:grouping val="stacked"/>
        <c:varyColors val="0"/>
        <c:ser>
          <c:idx val="0"/>
          <c:order val="0"/>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'Re-Rating Bridge'!$A$47:$A$55</c:f>
              <c:strCache>
                <c:ptCount val="9"/>
                <c:pt idx="0">
                  <c:v/>
                </c:pt>
                <c:pt idx="1">
                  <c:v/>
                </c:pt>
                <c:pt idx="2">
                  <c:v/>
                </c:pt>
                <c:pt idx="3">
                  <c:v/>
                </c:pt>
                <c:pt idx="4">
                  <c:v/>
                </c:pt>
                <c:pt idx="5">
                  <c:v/>
                </c:pt>
                <c:pt idx="6">
                  <c:v/>
                </c:pt>
                <c:pt idx="7">
                  <c:v/>
                </c:pt>
                <c:pt idx="8">
                  <c:v/>
                </c:pt>
              </c:strCache>
            </c:strRef>
          </c:cat>
          <c:val>
            <c:numRef>
              <c:f>'Re-Rating Bridge'!$B$47:$B$55</c:f>
              <c:numCache>
                <c:formatCode>General</c:formatCode>
                <c:ptCount val="9"/>
              </c:numCache>
            </c:numRef>
          </c:val>
        </c:ser>
        <c:ser>
          <c:idx val="1"/>
          <c:order val="1"/>
          <c:spPr>
            <a:solidFill>
              <a:srgbClr val="2f549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'Re-Rating Bridge'!$A$47:$A$55</c:f>
              <c:strCache>
                <c:ptCount val="9"/>
                <c:pt idx="0">
                  <c:v/>
                </c:pt>
                <c:pt idx="1">
                  <c:v/>
                </c:pt>
                <c:pt idx="2">
                  <c:v/>
                </c:pt>
                <c:pt idx="3">
                  <c:v/>
                </c:pt>
                <c:pt idx="4">
                  <c:v/>
                </c:pt>
                <c:pt idx="5">
                  <c:v/>
                </c:pt>
                <c:pt idx="6">
                  <c:v/>
                </c:pt>
                <c:pt idx="7">
                  <c:v/>
                </c:pt>
                <c:pt idx="8">
                  <c:v/>
                </c:pt>
              </c:strCache>
            </c:strRef>
          </c:cat>
          <c:val>
            <c:numRef>
              <c:f>'Re-Rating Bridge'!$C$47:$C$55</c:f>
              <c:numCache>
                <c:formatCode>General</c:formatCode>
                <c:ptCount val="9"/>
              </c:numCache>
            </c:numRef>
          </c:val>
        </c:ser>
        <c:gapWidth val="150"/>
        <c:overlap val="100"/>
        <c:axId val="26274123"/>
        <c:axId val="55513809"/>
      </c:barChart>
      <c:catAx>
        <c:axId val="262741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513809"/>
        <c:crosses val="autoZero"/>
        <c:auto val="1"/>
        <c:lblAlgn val="ctr"/>
        <c:lblOffset val="100"/>
        <c:noMultiLvlLbl val="0"/>
      </c:catAx>
      <c:valAx>
        <c:axId val="5551380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Post-money valuation ($mm)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2741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Klarna Valuation Football Field ($bn Equity Value)</a:t>
            </a:r>
          </a:p>
        </c:rich>
      </c:tx>
      <c:overlay val="0"/>
      <c:spPr>
        <a:noFill/>
        <a:ln w="0">
          <a:noFill/>
        </a:ln>
      </c:spPr>
    </c:title>
    <c:autoTitleDeleted val="0"/>
    <c:plotArea>
      <c:barChart>
        <c:barDir val="bar"/>
        <c:grouping val="stacked"/>
        <c:varyColors val="0"/>
        <c:ser>
          <c:idx val="0"/>
          <c:order val="0"/>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'Football Field'!$A$16:$A$23</c:f>
              <c:strCache>
                <c:ptCount val="8"/>
                <c:pt idx="0">
                  <c:v>DCF — Bear/Bull scenario range</c:v>
                </c:pt>
                <c:pt idx="1">
                  <c:v>Precedent: 2022 down round (trough)</c:v>
                </c:pt>
                <c:pt idx="2">
                  <c:v>DCF — WACC/growth sensitivity range (Grid 1)</c:v>
                </c:pt>
                <c:pt idx="3">
                  <c:v>DCF — Base case (point estimate)</c:v>
                </c:pt>
                <c:pt idx="4">
                  <c:v>EV/Revenue comps (3.0x–5.5x FY2026E)</c:v>
                </c:pt>
                <c:pt idx="5">
                  <c:v>Actual: IPO offer price</c:v>
                </c:pt>
                <c:pt idx="6">
                  <c:v>Actual: Day-1 closing price</c:v>
                </c:pt>
                <c:pt idx="7">
                  <c:v>Precedent: 2021 SoftBank round (peak)</c:v>
                </c:pt>
              </c:strCache>
            </c:strRef>
          </c:cat>
          <c:val>
            <c:numRef>
              <c:f>'Football Field'!$B$16:$B$23</c:f>
              <c:numCache>
                <c:formatCode>#,##0.0;\(#,##0.0\);\-</c:formatCode>
                <c:ptCount val="8"/>
                <c:pt idx="0">
                  <c:v>2.85815491092807</c:v>
                </c:pt>
                <c:pt idx="1">
                  <c:v>6.7</c:v>
                </c:pt>
                <c:pt idx="2">
                  <c:v>6.42414330944016</c:v>
                </c:pt>
                <c:pt idx="3">
                  <c:v>8.72805640480267</c:v>
                </c:pt>
                <c:pt idx="4">
                  <c:v>14.4269064</c:v>
                </c:pt>
                <c:pt idx="5">
                  <c:v>15.1</c:v>
                </c:pt>
                <c:pt idx="6">
                  <c:v>19.65</c:v>
                </c:pt>
                <c:pt idx="7">
                  <c:v>45.6</c:v>
                </c:pt>
              </c:numCache>
            </c:numRef>
          </c:val>
        </c:ser>
        <c:ser>
          <c:idx val="1"/>
          <c:order val="1"/>
          <c:spPr>
            <a:solidFill>
              <a:srgbClr val="2f549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'Football Field'!$A$16:$A$23</c:f>
              <c:strCache>
                <c:ptCount val="8"/>
                <c:pt idx="0">
                  <c:v>DCF — Bear/Bull scenario range</c:v>
                </c:pt>
                <c:pt idx="1">
                  <c:v>Precedent: 2022 down round (trough)</c:v>
                </c:pt>
                <c:pt idx="2">
                  <c:v>DCF — WACC/growth sensitivity range (Grid 1)</c:v>
                </c:pt>
                <c:pt idx="3">
                  <c:v>DCF — Base case (point estimate)</c:v>
                </c:pt>
                <c:pt idx="4">
                  <c:v>EV/Revenue comps (3.0x–5.5x FY2026E)</c:v>
                </c:pt>
                <c:pt idx="5">
                  <c:v>Actual: IPO offer price</c:v>
                </c:pt>
                <c:pt idx="6">
                  <c:v>Actual: Day-1 closing price</c:v>
                </c:pt>
                <c:pt idx="7">
                  <c:v>Precedent: 2021 SoftBank round (peak)</c:v>
                </c:pt>
              </c:strCache>
            </c:strRef>
          </c:cat>
          <c:val>
            <c:numRef>
              <c:f>'Football Field'!$C$16:$C$23</c:f>
              <c:numCache>
                <c:formatCode>#,##0.0;\(#,##0.0\);\-</c:formatCode>
                <c:ptCount val="8"/>
                <c:pt idx="0">
                  <c:v>14.7942423299548</c:v>
                </c:pt>
                <c:pt idx="1">
                  <c:v>0</c:v>
                </c:pt>
                <c:pt idx="2">
                  <c:v>7.74256218905081</c:v>
                </c:pt>
                <c:pt idx="3">
                  <c:v>0</c:v>
                </c:pt>
                <c:pt idx="4">
                  <c:v>11.022422</c:v>
                </c:pt>
                <c:pt idx="5">
                  <c:v>0</c:v>
                </c:pt>
                <c:pt idx="6">
                  <c:v>0</c:v>
                </c:pt>
                <c:pt idx="7">
                  <c:v>0</c:v>
                </c:pt>
              </c:numCache>
            </c:numRef>
          </c:val>
        </c:ser>
        <c:gapWidth val="150"/>
        <c:overlap val="100"/>
        <c:axId val="40033549"/>
        <c:axId val="77163261"/>
      </c:barChart>
      <c:catAx>
        <c:axId val="40033549"/>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billions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163261"/>
        <c:crosses val="autoZero"/>
        <c:auto val="1"/>
        <c:lblAlgn val="ctr"/>
        <c:lblOffset val="100"/>
        <c:noMultiLvlLbl val="0"/>
      </c:catAx>
      <c:valAx>
        <c:axId val="77163261"/>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03354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17</xdr:col>
      <xdr:colOff>316800</xdr:colOff>
      <xdr:row>18</xdr:row>
      <xdr:rowOff>105840</xdr:rowOff>
    </xdr:to>
    <xdr:graphicFrame>
      <xdr:nvGraphicFramePr>
        <xdr:cNvPr id="0" name="Chart 1"/>
        <xdr:cNvGraphicFramePr/>
      </xdr:nvGraphicFramePr>
      <xdr:xfrm>
        <a:off x="8246880" y="69516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0</xdr:rowOff>
    </xdr:from>
    <xdr:to>
      <xdr:col>8</xdr:col>
      <xdr:colOff>30960</xdr:colOff>
      <xdr:row>36</xdr:row>
      <xdr:rowOff>149400</xdr:rowOff>
    </xdr:to>
    <xdr:graphicFrame>
      <xdr:nvGraphicFramePr>
        <xdr:cNvPr id="1" name="Chart 1"/>
        <xdr:cNvGraphicFramePr/>
      </xdr:nvGraphicFramePr>
      <xdr:xfrm>
        <a:off x="0" y="3209760"/>
        <a:ext cx="93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F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46"/>
    <col collapsed="false" customWidth="true" hidden="false" outlineLevel="0" max="4" min="4" style="0" width="3"/>
    <col collapsed="false" customWidth="true" hidden="false" outlineLevel="0" max="6" min="5" style="0" width="20"/>
    <col collapsed="false" customWidth="true" hidden="false" outlineLevel="0" max="7" min="7" style="0" width="3"/>
  </cols>
  <sheetData>
    <row r="2" customFormat="false" ht="26.8" hidden="false" customHeight="false" outlineLevel="0" collapsed="false">
      <c r="B2" s="1" t="s">
        <v>0</v>
      </c>
      <c r="C2" s="1"/>
      <c r="D2" s="1"/>
      <c r="E2" s="1"/>
      <c r="F2" s="1"/>
    </row>
    <row r="3" customFormat="false" ht="18.55" hidden="false" customHeight="false" outlineLevel="0" collapsed="false">
      <c r="B3" s="2" t="s">
        <v>1</v>
      </c>
      <c r="C3" s="2"/>
      <c r="D3" s="2"/>
      <c r="E3" s="2"/>
      <c r="F3" s="2"/>
    </row>
    <row r="4" customFormat="false" ht="30" hidden="false" customHeight="true" outlineLevel="0" collapsed="false">
      <c r="B4" s="3" t="s">
        <v>2</v>
      </c>
      <c r="C4" s="3"/>
      <c r="D4" s="3"/>
      <c r="E4" s="3"/>
      <c r="F4" s="3"/>
    </row>
    <row r="6" customFormat="false" ht="15" hidden="false" customHeight="false" outlineLevel="0" collapsed="false">
      <c r="B6" s="4" t="s">
        <v>3</v>
      </c>
      <c r="C6" s="5" t="s">
        <v>4</v>
      </c>
    </row>
    <row r="7" customFormat="false" ht="15" hidden="false" customHeight="false" outlineLevel="0" collapsed="false">
      <c r="B7" s="4" t="s">
        <v>5</v>
      </c>
      <c r="C7" s="5" t="s">
        <v>6</v>
      </c>
    </row>
    <row r="8" customFormat="false" ht="15" hidden="false" customHeight="false" outlineLevel="0" collapsed="false">
      <c r="B8" s="4" t="s">
        <v>7</v>
      </c>
      <c r="C8" s="5" t="s">
        <v>8</v>
      </c>
    </row>
    <row r="9" customFormat="false" ht="15" hidden="false" customHeight="false" outlineLevel="0" collapsed="false">
      <c r="B9" s="4" t="s">
        <v>9</v>
      </c>
      <c r="C9" s="5" t="s">
        <v>10</v>
      </c>
    </row>
    <row r="10" customFormat="false" ht="15" hidden="false" customHeight="false" outlineLevel="0" collapsed="false">
      <c r="B10" s="4" t="s">
        <v>11</v>
      </c>
      <c r="C10" s="5" t="s">
        <v>12</v>
      </c>
    </row>
    <row r="11" customFormat="false" ht="15" hidden="false" customHeight="false" outlineLevel="0" collapsed="false">
      <c r="B11" s="4" t="s">
        <v>13</v>
      </c>
      <c r="C11" s="5" t="s">
        <v>14</v>
      </c>
    </row>
    <row r="13" customFormat="false" ht="18" hidden="false" customHeight="true" outlineLevel="0" collapsed="false">
      <c r="B13" s="6" t="s">
        <v>15</v>
      </c>
      <c r="C13" s="6"/>
      <c r="D13" s="6"/>
      <c r="E13" s="6"/>
      <c r="F13" s="6"/>
    </row>
    <row r="14" customFormat="false" ht="15" hidden="false" customHeight="false" outlineLevel="0" collapsed="false">
      <c r="B14" s="7" t="s">
        <v>16</v>
      </c>
      <c r="C14" s="4" t="s">
        <v>17</v>
      </c>
      <c r="D14" s="8" t="s">
        <v>18</v>
      </c>
      <c r="E14" s="8"/>
      <c r="F14" s="8"/>
    </row>
    <row r="15" customFormat="false" ht="15" hidden="false" customHeight="false" outlineLevel="0" collapsed="false">
      <c r="B15" s="7" t="s">
        <v>19</v>
      </c>
      <c r="C15" s="4" t="s">
        <v>20</v>
      </c>
      <c r="D15" s="8" t="s">
        <v>21</v>
      </c>
      <c r="E15" s="8"/>
      <c r="F15" s="8"/>
    </row>
    <row r="16" customFormat="false" ht="15" hidden="false" customHeight="false" outlineLevel="0" collapsed="false">
      <c r="B16" s="7" t="s">
        <v>22</v>
      </c>
      <c r="C16" s="4" t="s">
        <v>23</v>
      </c>
      <c r="D16" s="8" t="s">
        <v>24</v>
      </c>
      <c r="E16" s="8"/>
      <c r="F16" s="8"/>
    </row>
    <row r="17" customFormat="false" ht="15" hidden="false" customHeight="false" outlineLevel="0" collapsed="false">
      <c r="B17" s="7" t="s">
        <v>25</v>
      </c>
      <c r="C17" s="4" t="s">
        <v>26</v>
      </c>
      <c r="D17" s="8" t="s">
        <v>27</v>
      </c>
      <c r="E17" s="8"/>
      <c r="F17" s="8"/>
    </row>
    <row r="18" customFormat="false" ht="15" hidden="false" customHeight="false" outlineLevel="0" collapsed="false">
      <c r="B18" s="7" t="s">
        <v>28</v>
      </c>
      <c r="C18" s="4" t="s">
        <v>29</v>
      </c>
      <c r="D18" s="8" t="s">
        <v>30</v>
      </c>
      <c r="E18" s="8"/>
      <c r="F18" s="8"/>
    </row>
    <row r="19" customFormat="false" ht="15" hidden="false" customHeight="false" outlineLevel="0" collapsed="false">
      <c r="B19" s="7" t="s">
        <v>31</v>
      </c>
      <c r="C19" s="4" t="s">
        <v>32</v>
      </c>
      <c r="D19" s="8" t="s">
        <v>33</v>
      </c>
      <c r="E19" s="8"/>
      <c r="F19" s="8"/>
    </row>
    <row r="20" customFormat="false" ht="15" hidden="false" customHeight="false" outlineLevel="0" collapsed="false">
      <c r="B20" s="7" t="s">
        <v>34</v>
      </c>
      <c r="C20" s="4" t="s">
        <v>35</v>
      </c>
      <c r="D20" s="8" t="s">
        <v>36</v>
      </c>
      <c r="E20" s="8"/>
      <c r="F20" s="8"/>
    </row>
    <row r="21" customFormat="false" ht="15" hidden="false" customHeight="false" outlineLevel="0" collapsed="false">
      <c r="B21" s="7" t="s">
        <v>37</v>
      </c>
      <c r="C21" s="4" t="s">
        <v>38</v>
      </c>
      <c r="D21" s="8" t="s">
        <v>39</v>
      </c>
      <c r="E21" s="8"/>
      <c r="F21" s="8"/>
    </row>
    <row r="22" customFormat="false" ht="15" hidden="false" customHeight="false" outlineLevel="0" collapsed="false">
      <c r="B22" s="7" t="s">
        <v>40</v>
      </c>
      <c r="C22" s="4" t="s">
        <v>41</v>
      </c>
      <c r="D22" s="8" t="s">
        <v>42</v>
      </c>
      <c r="E22" s="8"/>
      <c r="F22" s="8"/>
    </row>
    <row r="23" customFormat="false" ht="15" hidden="false" customHeight="false" outlineLevel="0" collapsed="false">
      <c r="B23" s="7" t="s">
        <v>43</v>
      </c>
      <c r="C23" s="4" t="s">
        <v>44</v>
      </c>
      <c r="D23" s="8" t="s">
        <v>45</v>
      </c>
      <c r="E23" s="8"/>
      <c r="F23" s="8"/>
    </row>
    <row r="24" customFormat="false" ht="15" hidden="false" customHeight="false" outlineLevel="0" collapsed="false">
      <c r="B24" s="7" t="s">
        <v>46</v>
      </c>
      <c r="C24" s="4" t="s">
        <v>47</v>
      </c>
      <c r="D24" s="8" t="s">
        <v>48</v>
      </c>
      <c r="E24" s="8"/>
      <c r="F24" s="8"/>
    </row>
    <row r="26" customFormat="false" ht="18" hidden="false" customHeight="true" outlineLevel="0" collapsed="false">
      <c r="B26" s="6" t="s">
        <v>49</v>
      </c>
      <c r="C26" s="6"/>
      <c r="D26" s="6"/>
      <c r="E26" s="6"/>
      <c r="F26" s="6"/>
    </row>
    <row r="27" customFormat="false" ht="43.5" hidden="false" customHeight="true" outlineLevel="0" collapsed="false">
      <c r="B27" s="9" t="s">
        <v>50</v>
      </c>
      <c r="C27" s="9"/>
      <c r="D27" s="9"/>
      <c r="E27" s="9"/>
      <c r="F27" s="9"/>
    </row>
    <row r="28" customFormat="false" ht="43.5" hidden="false" customHeight="true" outlineLevel="0" collapsed="false">
      <c r="B28" s="9" t="s">
        <v>51</v>
      </c>
      <c r="C28" s="9"/>
      <c r="D28" s="9"/>
      <c r="E28" s="9"/>
      <c r="F28" s="9"/>
    </row>
    <row r="29" customFormat="false" ht="43.5" hidden="false" customHeight="true" outlineLevel="0" collapsed="false">
      <c r="B29" s="9" t="s">
        <v>52</v>
      </c>
      <c r="C29" s="9"/>
      <c r="D29" s="9"/>
      <c r="E29" s="9"/>
      <c r="F29" s="9"/>
    </row>
    <row r="30" customFormat="false" ht="30" hidden="false" customHeight="true" outlineLevel="0" collapsed="false">
      <c r="B30" s="9" t="s">
        <v>53</v>
      </c>
      <c r="C30" s="9"/>
      <c r="D30" s="9"/>
      <c r="E30" s="9"/>
      <c r="F30" s="9"/>
    </row>
    <row r="32" customFormat="false" ht="18" hidden="false" customHeight="true" outlineLevel="0" collapsed="false">
      <c r="B32" s="6" t="s">
        <v>54</v>
      </c>
      <c r="C32" s="6"/>
      <c r="D32" s="6"/>
      <c r="E32" s="6"/>
      <c r="F32" s="6"/>
    </row>
    <row r="33" customFormat="false" ht="15" hidden="false" customHeight="false" outlineLevel="0" collapsed="false">
      <c r="B33" s="10" t="s">
        <v>55</v>
      </c>
      <c r="C33" s="11" t="s">
        <v>56</v>
      </c>
      <c r="D33" s="11"/>
      <c r="E33" s="11"/>
      <c r="F33" s="11"/>
    </row>
    <row r="34" customFormat="false" ht="15" hidden="false" customHeight="false" outlineLevel="0" collapsed="false">
      <c r="B34" s="12" t="s">
        <v>57</v>
      </c>
      <c r="C34" s="11" t="s">
        <v>58</v>
      </c>
      <c r="D34" s="11"/>
      <c r="E34" s="11"/>
      <c r="F34" s="11"/>
    </row>
    <row r="35" customFormat="false" ht="15" hidden="false" customHeight="false" outlineLevel="0" collapsed="false">
      <c r="B35" s="13" t="s">
        <v>59</v>
      </c>
      <c r="C35" s="11" t="s">
        <v>60</v>
      </c>
      <c r="D35" s="11"/>
      <c r="E35" s="11"/>
      <c r="F35" s="11"/>
    </row>
    <row r="36" customFormat="false" ht="15" hidden="false" customHeight="false" outlineLevel="0" collapsed="false">
      <c r="B36" s="14" t="s">
        <v>61</v>
      </c>
      <c r="C36" s="11" t="s">
        <v>62</v>
      </c>
      <c r="D36" s="11"/>
      <c r="E36" s="11"/>
      <c r="F36" s="11"/>
    </row>
    <row r="38" customFormat="false" ht="60" hidden="false" customHeight="true" outlineLevel="0" collapsed="false">
      <c r="B38" s="15" t="s">
        <v>63</v>
      </c>
    </row>
  </sheetData>
  <mergeCells count="25">
    <mergeCell ref="B2:F2"/>
    <mergeCell ref="B3:F3"/>
    <mergeCell ref="B4:F4"/>
    <mergeCell ref="B13:F13"/>
    <mergeCell ref="D14:F14"/>
    <mergeCell ref="D15:F15"/>
    <mergeCell ref="D16:F16"/>
    <mergeCell ref="D17:F17"/>
    <mergeCell ref="D18:F18"/>
    <mergeCell ref="D19:F19"/>
    <mergeCell ref="D20:F20"/>
    <mergeCell ref="D21:F21"/>
    <mergeCell ref="D22:F22"/>
    <mergeCell ref="D23:F23"/>
    <mergeCell ref="D24:F24"/>
    <mergeCell ref="B26:F26"/>
    <mergeCell ref="B27:F27"/>
    <mergeCell ref="B28:F28"/>
    <mergeCell ref="B29:F29"/>
    <mergeCell ref="B30:F30"/>
    <mergeCell ref="B32:F32"/>
    <mergeCell ref="C33:F33"/>
    <mergeCell ref="C34:F34"/>
    <mergeCell ref="C35:F35"/>
    <mergeCell ref="C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K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1" min="3" style="0" width="12"/>
    <col collapsed="false" customWidth="true" hidden="false" outlineLevel="0" max="12" min="12" style="0" width="40"/>
  </cols>
  <sheetData>
    <row r="1" customFormat="false" ht="24" hidden="false" customHeight="true" outlineLevel="0" collapsed="false">
      <c r="A1" s="16" t="s">
        <v>64</v>
      </c>
      <c r="B1" s="16"/>
      <c r="C1" s="16"/>
      <c r="D1" s="16"/>
      <c r="E1" s="16"/>
      <c r="F1" s="16"/>
      <c r="G1" s="16"/>
      <c r="H1" s="16"/>
      <c r="I1" s="16"/>
      <c r="J1" s="16"/>
      <c r="K1" s="16"/>
    </row>
    <row r="2" customFormat="false" ht="15.75" hidden="false" customHeight="true" outlineLevel="0" collapsed="false">
      <c r="A2" s="17" t="s">
        <v>65</v>
      </c>
      <c r="B2" s="17"/>
      <c r="C2" s="17"/>
      <c r="D2" s="17"/>
      <c r="E2" s="17"/>
      <c r="F2" s="17"/>
      <c r="G2" s="17"/>
      <c r="H2" s="17"/>
      <c r="I2" s="17"/>
      <c r="J2" s="17"/>
      <c r="K2" s="17"/>
    </row>
    <row r="4" customFormat="false" ht="18" hidden="false" customHeight="true" outlineLevel="0" collapsed="false">
      <c r="A4" s="6" t="s">
        <v>66</v>
      </c>
      <c r="B4" s="6"/>
      <c r="C4" s="6"/>
      <c r="D4" s="6"/>
      <c r="E4" s="6"/>
      <c r="F4" s="6"/>
      <c r="G4" s="6"/>
      <c r="H4" s="6"/>
      <c r="I4" s="6"/>
      <c r="J4" s="6"/>
    </row>
    <row r="5" customFormat="false" ht="15" hidden="false" customHeight="false" outlineLevel="0" collapsed="false">
      <c r="B5" s="18" t="s">
        <v>67</v>
      </c>
      <c r="C5" s="19" t="s">
        <v>68</v>
      </c>
      <c r="D5" s="19" t="s">
        <v>69</v>
      </c>
      <c r="E5" s="19" t="s">
        <v>70</v>
      </c>
      <c r="F5" s="19" t="s">
        <v>71</v>
      </c>
      <c r="G5" s="19" t="s">
        <v>72</v>
      </c>
    </row>
    <row r="6" customFormat="false" ht="15" hidden="false" customHeight="false" outlineLevel="0" collapsed="false">
      <c r="B6" s="20" t="s">
        <v>73</v>
      </c>
      <c r="C6" s="21" t="n">
        <v>80300</v>
      </c>
      <c r="D6" s="21" t="n">
        <v>82837</v>
      </c>
      <c r="E6" s="21" t="n">
        <v>92465</v>
      </c>
      <c r="F6" s="21" t="n">
        <v>105015</v>
      </c>
      <c r="G6" s="21" t="n">
        <v>127900</v>
      </c>
    </row>
    <row r="7" customFormat="false" ht="15" hidden="false" customHeight="false" outlineLevel="0" collapsed="false">
      <c r="B7" s="20" t="s">
        <v>74</v>
      </c>
      <c r="C7" s="21" t="n">
        <v>1850</v>
      </c>
      <c r="D7" s="21" t="n">
        <v>1904</v>
      </c>
      <c r="E7" s="21" t="n">
        <v>2276</v>
      </c>
      <c r="F7" s="21" t="n">
        <v>2811</v>
      </c>
      <c r="G7" s="21" t="n">
        <v>3509</v>
      </c>
    </row>
    <row r="8" customFormat="false" ht="15" hidden="false" customHeight="false" outlineLevel="0" collapsed="false">
      <c r="B8" s="20" t="s">
        <v>75</v>
      </c>
      <c r="D8" s="22" t="n">
        <f aca="false">D7/C7-1</f>
        <v>0.0291891891891891</v>
      </c>
      <c r="E8" s="22" t="n">
        <f aca="false">E7/D7-1</f>
        <v>0.195378151260504</v>
      </c>
      <c r="F8" s="22" t="n">
        <f aca="false">F7/E7-1</f>
        <v>0.23506151142355</v>
      </c>
      <c r="G8" s="22" t="n">
        <f aca="false">G7/F7-1</f>
        <v>0.248310209889719</v>
      </c>
    </row>
    <row r="9" customFormat="false" ht="15" hidden="false" customHeight="false" outlineLevel="0" collapsed="false">
      <c r="B9" s="20" t="s">
        <v>76</v>
      </c>
      <c r="C9" s="23" t="n">
        <f aca="false">C7/C6</f>
        <v>0.0230386052303861</v>
      </c>
      <c r="D9" s="23" t="n">
        <f aca="false">D7/D6</f>
        <v>0.0229848980528025</v>
      </c>
      <c r="E9" s="23" t="n">
        <f aca="false">E7/E6</f>
        <v>0.0246147190828962</v>
      </c>
      <c r="F9" s="23" t="n">
        <f aca="false">F7/F6</f>
        <v>0.0267676046279103</v>
      </c>
      <c r="G9" s="23" t="n">
        <f aca="false">G7/G6</f>
        <v>0.0274354964816263</v>
      </c>
    </row>
    <row r="10" customFormat="false" ht="15" hidden="false" customHeight="false" outlineLevel="0" collapsed="false">
      <c r="B10" s="20" t="s">
        <v>77</v>
      </c>
      <c r="E10" s="21" t="n">
        <v>353</v>
      </c>
      <c r="F10" s="21" t="n">
        <v>495</v>
      </c>
      <c r="G10" s="21" t="n">
        <v>794</v>
      </c>
    </row>
    <row r="11" customFormat="false" ht="15" hidden="false" customHeight="false" outlineLevel="0" collapsed="false">
      <c r="B11" s="20" t="s">
        <v>78</v>
      </c>
      <c r="E11" s="23" t="n">
        <f aca="false">E10/E6</f>
        <v>0.00381766073649489</v>
      </c>
      <c r="F11" s="23" t="n">
        <f aca="false">F10/F6</f>
        <v>0.00471361234109413</v>
      </c>
      <c r="G11" s="23" t="n">
        <f aca="false">G10/G6</f>
        <v>0.00620797498045348</v>
      </c>
    </row>
    <row r="12" customFormat="false" ht="15" hidden="false" customHeight="false" outlineLevel="0" collapsed="false">
      <c r="B12" s="20" t="s">
        <v>79</v>
      </c>
      <c r="C12" s="21" t="n">
        <v>-520</v>
      </c>
      <c r="D12" s="21" t="n">
        <v>-395</v>
      </c>
      <c r="E12" s="21" t="n">
        <v>-49</v>
      </c>
      <c r="F12" s="21" t="n">
        <v>181</v>
      </c>
      <c r="G12" s="21" t="n">
        <v>65</v>
      </c>
    </row>
    <row r="13" customFormat="false" ht="15" hidden="false" customHeight="false" outlineLevel="0" collapsed="false">
      <c r="B13" s="20" t="s">
        <v>80</v>
      </c>
      <c r="C13" s="21" t="n">
        <v>-830</v>
      </c>
      <c r="D13" s="21" t="n">
        <v>-992</v>
      </c>
      <c r="E13" s="21" t="n">
        <v>-244</v>
      </c>
      <c r="F13" s="21" t="n">
        <v>21</v>
      </c>
      <c r="G13" s="21" t="n">
        <v>-294</v>
      </c>
    </row>
    <row r="14" customFormat="false" ht="15" hidden="false" customHeight="false" outlineLevel="0" collapsed="false">
      <c r="B14" s="20" t="s">
        <v>81</v>
      </c>
      <c r="C14" s="24" t="n">
        <v>147</v>
      </c>
      <c r="E14" s="24" t="n">
        <v>93</v>
      </c>
      <c r="F14" s="24" t="n">
        <v>93</v>
      </c>
      <c r="G14" s="24" t="n">
        <v>118</v>
      </c>
    </row>
    <row r="16" customFormat="false" ht="18" hidden="false" customHeight="true" outlineLevel="0" collapsed="false">
      <c r="A16" s="6" t="s">
        <v>82</v>
      </c>
      <c r="B16" s="6"/>
      <c r="C16" s="6"/>
      <c r="D16" s="6"/>
      <c r="E16" s="6"/>
      <c r="F16" s="6"/>
      <c r="G16" s="6"/>
      <c r="H16" s="6"/>
      <c r="I16" s="6"/>
      <c r="J16" s="6"/>
    </row>
    <row r="17" customFormat="false" ht="15" hidden="false" customHeight="false" outlineLevel="0" collapsed="false">
      <c r="B17" s="20" t="s">
        <v>83</v>
      </c>
      <c r="C17" s="25" t="n">
        <v>40</v>
      </c>
    </row>
    <row r="18" customFormat="false" ht="15" hidden="false" customHeight="false" outlineLevel="0" collapsed="false">
      <c r="B18" s="20" t="s">
        <v>84</v>
      </c>
      <c r="C18" s="25" t="n">
        <v>45.82</v>
      </c>
    </row>
    <row r="19" customFormat="false" ht="15" hidden="false" customHeight="false" outlineLevel="0" collapsed="false">
      <c r="B19" s="20" t="s">
        <v>85</v>
      </c>
      <c r="C19" s="21" t="n">
        <v>15100</v>
      </c>
    </row>
    <row r="20" customFormat="false" ht="15" hidden="false" customHeight="false" outlineLevel="0" collapsed="false">
      <c r="B20" s="20" t="s">
        <v>86</v>
      </c>
      <c r="C20" s="21" t="n">
        <v>19650</v>
      </c>
    </row>
    <row r="21" customFormat="false" ht="15" hidden="false" customHeight="false" outlineLevel="0" collapsed="false">
      <c r="B21" s="20" t="s">
        <v>87</v>
      </c>
      <c r="C21" s="26" t="n">
        <v>377.8</v>
      </c>
    </row>
    <row r="22" customFormat="false" ht="15" hidden="false" customHeight="false" outlineLevel="0" collapsed="false">
      <c r="B22" s="20" t="s">
        <v>88</v>
      </c>
      <c r="C22" s="21" t="n">
        <v>5</v>
      </c>
    </row>
    <row r="23" customFormat="false" ht="15" hidden="false" customHeight="false" outlineLevel="0" collapsed="false">
      <c r="B23" s="20" t="s">
        <v>89</v>
      </c>
      <c r="C23" s="21" t="n">
        <v>29.3</v>
      </c>
    </row>
    <row r="24" customFormat="false" ht="15" hidden="false" customHeight="false" outlineLevel="0" collapsed="false">
      <c r="B24" s="20" t="s">
        <v>90</v>
      </c>
      <c r="C24" s="27" t="n">
        <f aca="false">C22*C17</f>
        <v>200</v>
      </c>
    </row>
    <row r="25" customFormat="false" ht="15" hidden="false" customHeight="false" outlineLevel="0" collapsed="false">
      <c r="B25" s="20" t="s">
        <v>91</v>
      </c>
      <c r="C25" s="21" t="n">
        <v>-1200</v>
      </c>
    </row>
    <row r="27" customFormat="false" ht="18" hidden="false" customHeight="true" outlineLevel="0" collapsed="false">
      <c r="A27" s="6" t="s">
        <v>92</v>
      </c>
      <c r="B27" s="6"/>
      <c r="C27" s="6"/>
      <c r="D27" s="6"/>
      <c r="E27" s="6"/>
      <c r="F27" s="6"/>
      <c r="G27" s="6"/>
      <c r="H27" s="6"/>
      <c r="I27" s="6"/>
      <c r="J27" s="6"/>
    </row>
    <row r="28" customFormat="false" ht="15" hidden="false" customHeight="false" outlineLevel="0" collapsed="false">
      <c r="C28" s="19" t="s">
        <v>93</v>
      </c>
      <c r="D28" s="19" t="s">
        <v>94</v>
      </c>
      <c r="E28" s="19" t="s">
        <v>95</v>
      </c>
      <c r="F28" s="19" t="s">
        <v>96</v>
      </c>
      <c r="G28" s="19" t="s">
        <v>97</v>
      </c>
    </row>
    <row r="29" customFormat="false" ht="15" hidden="false" customHeight="false" outlineLevel="0" collapsed="false">
      <c r="B29" s="20" t="s">
        <v>98</v>
      </c>
      <c r="C29" s="28" t="n">
        <v>0.24</v>
      </c>
      <c r="D29" s="28" t="n">
        <v>0.2</v>
      </c>
      <c r="E29" s="28" t="n">
        <v>0.17</v>
      </c>
      <c r="F29" s="28" t="n">
        <v>0.14</v>
      </c>
      <c r="G29" s="28" t="n">
        <v>0.12</v>
      </c>
    </row>
    <row r="30" customFormat="false" ht="15" hidden="false" customHeight="false" outlineLevel="0" collapsed="false">
      <c r="B30" s="20" t="s">
        <v>99</v>
      </c>
      <c r="C30" s="29" t="n">
        <v>0.0278</v>
      </c>
      <c r="D30" s="29" t="n">
        <v>0.0285</v>
      </c>
      <c r="E30" s="29" t="n">
        <v>0.0292</v>
      </c>
      <c r="F30" s="29" t="n">
        <v>0.0298</v>
      </c>
      <c r="G30" s="29" t="n">
        <v>0.0303</v>
      </c>
    </row>
    <row r="31" customFormat="false" ht="15" hidden="false" customHeight="false" outlineLevel="0" collapsed="false">
      <c r="B31" s="20" t="s">
        <v>100</v>
      </c>
      <c r="C31" s="29" t="n">
        <v>0.006</v>
      </c>
      <c r="D31" s="29" t="n">
        <v>0.0058</v>
      </c>
      <c r="E31" s="29" t="n">
        <v>0.0055</v>
      </c>
      <c r="F31" s="29" t="n">
        <v>0.0053</v>
      </c>
      <c r="G31" s="29" t="n">
        <v>0.005</v>
      </c>
    </row>
    <row r="32" customFormat="false" ht="15" hidden="false" customHeight="false" outlineLevel="0" collapsed="false">
      <c r="B32" s="20" t="s">
        <v>101</v>
      </c>
      <c r="C32" s="28" t="n">
        <v>0.2432</v>
      </c>
      <c r="D32" s="28" t="n">
        <v>0.2415</v>
      </c>
      <c r="E32" s="28" t="n">
        <v>0.2416</v>
      </c>
      <c r="F32" s="28" t="n">
        <v>0.2386</v>
      </c>
      <c r="G32" s="28" t="n">
        <v>0.2372</v>
      </c>
    </row>
    <row r="33" customFormat="false" ht="15" hidden="false" customHeight="false" outlineLevel="0" collapsed="false">
      <c r="B33" s="20" t="s">
        <v>102</v>
      </c>
      <c r="C33" s="28" t="n">
        <v>0.131</v>
      </c>
      <c r="D33" s="28" t="n">
        <v>0.13</v>
      </c>
      <c r="E33" s="28" t="n">
        <v>0.1301</v>
      </c>
      <c r="F33" s="28" t="n">
        <v>0.1285</v>
      </c>
      <c r="G33" s="28" t="n">
        <v>0.1277</v>
      </c>
    </row>
    <row r="34" customFormat="false" ht="15" hidden="false" customHeight="false" outlineLevel="0" collapsed="false">
      <c r="B34" s="20" t="s">
        <v>103</v>
      </c>
      <c r="C34" s="28" t="n">
        <v>0.1002</v>
      </c>
      <c r="D34" s="28" t="n">
        <v>0.0961</v>
      </c>
      <c r="E34" s="28" t="n">
        <v>0.0919</v>
      </c>
      <c r="F34" s="28" t="n">
        <v>0.0905</v>
      </c>
      <c r="G34" s="28" t="n">
        <v>0.0891</v>
      </c>
    </row>
    <row r="35" customFormat="false" ht="15" hidden="false" customHeight="false" outlineLevel="0" collapsed="false">
      <c r="B35" s="20" t="s">
        <v>104</v>
      </c>
      <c r="C35" s="28" t="n">
        <v>0.1351</v>
      </c>
      <c r="D35" s="28" t="n">
        <v>0.1295</v>
      </c>
      <c r="E35" s="28" t="n">
        <v>0.1238</v>
      </c>
      <c r="F35" s="28" t="n">
        <v>0.122</v>
      </c>
      <c r="G35" s="28" t="n">
        <v>0.1201</v>
      </c>
    </row>
    <row r="36" customFormat="false" ht="15" hidden="false" customHeight="false" outlineLevel="0" collapsed="false">
      <c r="B36" s="20" t="s">
        <v>105</v>
      </c>
      <c r="C36" s="28" t="n">
        <v>0.0654</v>
      </c>
      <c r="D36" s="28" t="n">
        <v>0.0627</v>
      </c>
      <c r="E36" s="28" t="n">
        <v>0.0599</v>
      </c>
      <c r="F36" s="28" t="n">
        <v>0.059</v>
      </c>
      <c r="G36" s="28" t="n">
        <v>0.0581</v>
      </c>
    </row>
    <row r="37" customFormat="false" ht="15" hidden="false" customHeight="false" outlineLevel="0" collapsed="false">
      <c r="B37" s="20" t="s">
        <v>106</v>
      </c>
      <c r="C37" s="28" t="n">
        <v>0.0593</v>
      </c>
      <c r="D37" s="28" t="n">
        <v>0.0568</v>
      </c>
      <c r="E37" s="28" t="n">
        <v>0.0543</v>
      </c>
      <c r="F37" s="28" t="n">
        <v>0.0535</v>
      </c>
      <c r="G37" s="28" t="n">
        <v>0.0527</v>
      </c>
    </row>
    <row r="38" customFormat="false" ht="15" hidden="false" customHeight="false" outlineLevel="0" collapsed="false">
      <c r="B38" s="20" t="s">
        <v>107</v>
      </c>
      <c r="C38" s="28" t="n">
        <v>0.018</v>
      </c>
      <c r="D38" s="28" t="n">
        <v>0.017</v>
      </c>
      <c r="E38" s="28" t="n">
        <v>0.016</v>
      </c>
      <c r="F38" s="28" t="n">
        <v>0.015</v>
      </c>
      <c r="G38" s="28" t="n">
        <v>0.015</v>
      </c>
    </row>
    <row r="39" customFormat="false" ht="15" hidden="false" customHeight="false" outlineLevel="0" collapsed="false">
      <c r="B39" s="20" t="s">
        <v>108</v>
      </c>
      <c r="C39" s="28" t="n">
        <v>0.045</v>
      </c>
      <c r="D39" s="28" t="n">
        <v>0.038</v>
      </c>
      <c r="E39" s="28" t="n">
        <v>0.032</v>
      </c>
      <c r="F39" s="28" t="n">
        <v>0.028</v>
      </c>
      <c r="G39" s="28" t="n">
        <v>0.025</v>
      </c>
    </row>
    <row r="40" customFormat="false" ht="15" hidden="false" customHeight="false" outlineLevel="0" collapsed="false">
      <c r="B40" s="20" t="s">
        <v>109</v>
      </c>
      <c r="C40" s="30" t="n">
        <v>15</v>
      </c>
      <c r="D40" s="30" t="n">
        <v>10</v>
      </c>
      <c r="E40" s="30" t="n">
        <v>5</v>
      </c>
      <c r="F40" s="30" t="n">
        <v>0</v>
      </c>
      <c r="G40" s="30" t="n">
        <v>0</v>
      </c>
    </row>
    <row r="41" customFormat="false" ht="15" hidden="false" customHeight="false" outlineLevel="0" collapsed="false">
      <c r="B41" s="20" t="s">
        <v>110</v>
      </c>
      <c r="C41" s="30" t="n">
        <v>-20</v>
      </c>
      <c r="D41" s="30" t="n">
        <v>10</v>
      </c>
      <c r="E41" s="30" t="n">
        <v>40</v>
      </c>
      <c r="F41" s="30" t="n">
        <v>70</v>
      </c>
      <c r="G41" s="30" t="n">
        <v>100</v>
      </c>
    </row>
    <row r="42" customFormat="false" ht="15" hidden="false" customHeight="false" outlineLevel="0" collapsed="false">
      <c r="B42" s="20" t="s">
        <v>111</v>
      </c>
      <c r="C42" s="28" t="n">
        <v>0.26</v>
      </c>
      <c r="D42" s="28" t="n">
        <v>0.26</v>
      </c>
      <c r="E42" s="28" t="n">
        <v>0.25</v>
      </c>
      <c r="F42" s="28" t="n">
        <v>0.25</v>
      </c>
      <c r="G42" s="28" t="n">
        <v>0.24</v>
      </c>
    </row>
    <row r="43" customFormat="false" ht="15" hidden="false" customHeight="false" outlineLevel="0" collapsed="false">
      <c r="B43" s="20" t="s">
        <v>112</v>
      </c>
      <c r="C43" s="28" t="n">
        <v>0.02</v>
      </c>
      <c r="D43" s="28" t="n">
        <v>0.019</v>
      </c>
      <c r="E43" s="28" t="n">
        <v>0.018</v>
      </c>
      <c r="F43" s="28" t="n">
        <v>0.017</v>
      </c>
      <c r="G43" s="28" t="n">
        <v>0.016</v>
      </c>
    </row>
    <row r="44" customFormat="false" ht="15" hidden="false" customHeight="false" outlineLevel="0" collapsed="false">
      <c r="B44" s="20" t="s">
        <v>113</v>
      </c>
      <c r="C44" s="28" t="n">
        <v>0.03</v>
      </c>
      <c r="D44" s="28" t="n">
        <v>0.03</v>
      </c>
      <c r="E44" s="28" t="n">
        <v>0.03</v>
      </c>
      <c r="F44" s="28" t="n">
        <v>0.03</v>
      </c>
      <c r="G44" s="28" t="n">
        <v>0.03</v>
      </c>
    </row>
    <row r="45" customFormat="false" ht="15" hidden="false" customHeight="false" outlineLevel="0" collapsed="false">
      <c r="B45" s="20" t="s">
        <v>114</v>
      </c>
      <c r="C45" s="31" t="n">
        <v>380</v>
      </c>
      <c r="D45" s="31" t="n">
        <v>383</v>
      </c>
      <c r="E45" s="31" t="n">
        <v>386</v>
      </c>
      <c r="F45" s="31" t="n">
        <v>389</v>
      </c>
      <c r="G45" s="31" t="n">
        <v>392</v>
      </c>
    </row>
    <row r="46" customFormat="false" ht="15" hidden="false" customHeight="false" outlineLevel="0" collapsed="false">
      <c r="B46" s="20" t="s">
        <v>115</v>
      </c>
      <c r="C46" s="28" t="n">
        <v>0.115</v>
      </c>
      <c r="D46" s="28" t="n">
        <v>0.113</v>
      </c>
      <c r="E46" s="28" t="n">
        <v>0.111</v>
      </c>
      <c r="F46" s="28" t="n">
        <v>0.109</v>
      </c>
      <c r="G46" s="28" t="n">
        <v>0.107</v>
      </c>
    </row>
    <row r="47" customFormat="false" ht="15" hidden="false" customHeight="false" outlineLevel="0" collapsed="false">
      <c r="B47" s="20" t="s">
        <v>116</v>
      </c>
      <c r="C47" s="28" t="n">
        <v>0.72</v>
      </c>
      <c r="D47" s="28" t="n">
        <v>0.74</v>
      </c>
      <c r="E47" s="28" t="n">
        <v>0.76</v>
      </c>
      <c r="F47" s="28" t="n">
        <v>0.78</v>
      </c>
      <c r="G47" s="28" t="n">
        <v>0.8</v>
      </c>
    </row>
    <row r="48" customFormat="false" ht="15" hidden="false" customHeight="false" outlineLevel="0" collapsed="false">
      <c r="B48" s="20" t="s">
        <v>117</v>
      </c>
      <c r="C48" s="28" t="n">
        <v>0.02</v>
      </c>
      <c r="D48" s="28" t="n">
        <v>0.02</v>
      </c>
      <c r="E48" s="28" t="n">
        <v>0.025</v>
      </c>
      <c r="F48" s="28" t="n">
        <v>0.025</v>
      </c>
      <c r="G48" s="28" t="n">
        <v>0.03</v>
      </c>
    </row>
    <row r="50" customFormat="false" ht="18" hidden="false" customHeight="true" outlineLevel="0" collapsed="false">
      <c r="A50" s="6" t="s">
        <v>118</v>
      </c>
      <c r="B50" s="6"/>
      <c r="C50" s="6"/>
      <c r="D50" s="6"/>
      <c r="E50" s="6"/>
      <c r="F50" s="6"/>
      <c r="G50" s="6"/>
      <c r="H50" s="6"/>
      <c r="I50" s="6"/>
      <c r="J50" s="6"/>
    </row>
    <row r="51" customFormat="false" ht="15" hidden="false" customHeight="false" outlineLevel="0" collapsed="false">
      <c r="B51" s="20" t="s">
        <v>119</v>
      </c>
      <c r="C51" s="29" t="n">
        <v>0.042</v>
      </c>
    </row>
    <row r="52" customFormat="false" ht="15" hidden="false" customHeight="false" outlineLevel="0" collapsed="false">
      <c r="B52" s="20" t="s">
        <v>120</v>
      </c>
      <c r="C52" s="29" t="n">
        <v>0.055</v>
      </c>
    </row>
    <row r="53" customFormat="false" ht="15" hidden="false" customHeight="false" outlineLevel="0" collapsed="false">
      <c r="B53" s="20" t="s">
        <v>121</v>
      </c>
      <c r="C53" s="32" t="n">
        <v>1.35</v>
      </c>
    </row>
    <row r="54" customFormat="false" ht="15" hidden="false" customHeight="false" outlineLevel="0" collapsed="false">
      <c r="B54" s="20" t="s">
        <v>122</v>
      </c>
      <c r="C54" s="23" t="n">
        <f aca="false">C51+C53*C52</f>
        <v>0.11625</v>
      </c>
    </row>
    <row r="55" customFormat="false" ht="15" hidden="false" customHeight="false" outlineLevel="0" collapsed="false">
      <c r="B55" s="20" t="s">
        <v>123</v>
      </c>
      <c r="C55" s="29" t="n">
        <v>0.065</v>
      </c>
    </row>
    <row r="56" customFormat="false" ht="15" hidden="false" customHeight="false" outlineLevel="0" collapsed="false">
      <c r="B56" s="20" t="s">
        <v>124</v>
      </c>
      <c r="C56" s="23" t="n">
        <f aca="false">Assumptions!F42</f>
        <v>0.25</v>
      </c>
    </row>
    <row r="57" customFormat="false" ht="15" hidden="false" customHeight="false" outlineLevel="0" collapsed="false">
      <c r="B57" s="20" t="s">
        <v>125</v>
      </c>
      <c r="C57" s="23" t="n">
        <f aca="false">C55*(1-C56)</f>
        <v>0.04875</v>
      </c>
    </row>
    <row r="58" customFormat="false" ht="15" hidden="false" customHeight="false" outlineLevel="0" collapsed="false">
      <c r="B58" s="20" t="s">
        <v>126</v>
      </c>
      <c r="C58" s="29" t="n">
        <v>0.1</v>
      </c>
    </row>
    <row r="59" customFormat="false" ht="15" hidden="false" customHeight="false" outlineLevel="0" collapsed="false">
      <c r="B59" s="20" t="s">
        <v>127</v>
      </c>
      <c r="C59" s="23" t="n">
        <f aca="false">1-C58</f>
        <v>0.9</v>
      </c>
    </row>
    <row r="60" customFormat="false" ht="15" hidden="false" customHeight="false" outlineLevel="0" collapsed="false">
      <c r="B60" s="20" t="s">
        <v>128</v>
      </c>
      <c r="C60" s="33" t="n">
        <f aca="false">C59*C54+C58*C57</f>
        <v>0.1095</v>
      </c>
    </row>
    <row r="61" customFormat="false" ht="15" hidden="false" customHeight="false" outlineLevel="0" collapsed="false">
      <c r="B61" s="20" t="s">
        <v>129</v>
      </c>
      <c r="C61" s="29" t="n">
        <v>0.035</v>
      </c>
    </row>
    <row r="62" customFormat="false" ht="15" hidden="false" customHeight="false" outlineLevel="0" collapsed="false">
      <c r="B62" s="20" t="s">
        <v>130</v>
      </c>
      <c r="C62" s="34" t="s">
        <v>131</v>
      </c>
    </row>
    <row r="64" customFormat="false" ht="15" hidden="false" customHeight="false" outlineLevel="0" collapsed="false">
      <c r="B64" s="35" t="s">
        <v>132</v>
      </c>
    </row>
    <row r="65" customFormat="false" ht="15" hidden="false" customHeight="false" outlineLevel="0" collapsed="false">
      <c r="C65" s="19" t="s">
        <v>133</v>
      </c>
      <c r="D65" s="19" t="s">
        <v>134</v>
      </c>
      <c r="E65" s="19" t="s">
        <v>135</v>
      </c>
    </row>
    <row r="66" customFormat="false" ht="15" hidden="false" customHeight="false" outlineLevel="0" collapsed="false">
      <c r="B66" s="20" t="s">
        <v>122</v>
      </c>
      <c r="C66" s="23" t="n">
        <f aca="false">C51+1.35*C52</f>
        <v>0.11625</v>
      </c>
      <c r="D66" s="23" t="n">
        <f aca="false">C51+1.6*C52</f>
        <v>0.13</v>
      </c>
      <c r="E66" s="23" t="n">
        <f aca="false">C51+1.8*C52</f>
        <v>0.141</v>
      </c>
    </row>
    <row r="67" customFormat="false" ht="15" hidden="false" customHeight="false" outlineLevel="0" collapsed="false">
      <c r="B67" s="20" t="s">
        <v>128</v>
      </c>
      <c r="C67" s="23" t="n">
        <f aca="false">C59*C66+C58*C57</f>
        <v>0.1095</v>
      </c>
      <c r="D67" s="23" t="n">
        <f aca="false">C59*D66+C58*C57</f>
        <v>0.121875</v>
      </c>
      <c r="E67" s="23" t="n">
        <f aca="false">C59*E66+C58*C57</f>
        <v>0.131775</v>
      </c>
    </row>
    <row r="68" customFormat="false" ht="54.75" hidden="false" customHeight="true" outlineLevel="0" collapsed="false">
      <c r="B68" s="36" t="s">
        <v>136</v>
      </c>
      <c r="C68" s="36"/>
      <c r="D68" s="36"/>
      <c r="E68" s="36"/>
      <c r="F68" s="36"/>
      <c r="G68" s="36"/>
      <c r="H68" s="36"/>
      <c r="I68" s="36"/>
      <c r="J68" s="36"/>
      <c r="K68" s="36"/>
    </row>
    <row r="70" customFormat="false" ht="18" hidden="false" customHeight="true" outlineLevel="0" collapsed="false">
      <c r="A70" s="6" t="s">
        <v>137</v>
      </c>
      <c r="B70" s="6"/>
      <c r="C70" s="6"/>
      <c r="D70" s="6"/>
      <c r="E70" s="6"/>
      <c r="F70" s="6"/>
      <c r="G70" s="6"/>
      <c r="H70" s="6"/>
      <c r="I70" s="6"/>
      <c r="J70" s="6"/>
    </row>
    <row r="71" customFormat="false" ht="15" hidden="false" customHeight="false" outlineLevel="0" collapsed="false">
      <c r="C71" s="19" t="s">
        <v>138</v>
      </c>
      <c r="D71" s="19" t="s">
        <v>139</v>
      </c>
      <c r="E71" s="19" t="s">
        <v>140</v>
      </c>
      <c r="F71" s="19" t="s">
        <v>141</v>
      </c>
      <c r="G71" s="19" t="s">
        <v>142</v>
      </c>
    </row>
    <row r="72" customFormat="false" ht="15" hidden="false" customHeight="false" outlineLevel="0" collapsed="false">
      <c r="B72" s="20" t="s">
        <v>143</v>
      </c>
      <c r="C72" s="21" t="n">
        <v>31000</v>
      </c>
      <c r="D72" s="21" t="n">
        <v>45600</v>
      </c>
      <c r="E72" s="21" t="n">
        <v>6700</v>
      </c>
      <c r="F72" s="21" t="n">
        <v>15100</v>
      </c>
      <c r="G72" s="21" t="n">
        <v>19650</v>
      </c>
    </row>
    <row r="73" customFormat="false" ht="15" hidden="false" customHeight="false" outlineLevel="0" collapsed="false">
      <c r="B73" s="20" t="s">
        <v>144</v>
      </c>
      <c r="C73" s="21" t="n">
        <v>1850</v>
      </c>
      <c r="D73" s="21" t="n">
        <v>1850</v>
      </c>
      <c r="E73" s="21" t="n">
        <v>2266</v>
      </c>
      <c r="F73" s="21" t="n">
        <v>3509</v>
      </c>
      <c r="G73" s="21" t="n">
        <v>3509</v>
      </c>
    </row>
    <row r="74" customFormat="false" ht="15" hidden="false" customHeight="false" outlineLevel="0" collapsed="false">
      <c r="B74" s="20" t="s">
        <v>145</v>
      </c>
      <c r="C74" s="37" t="n">
        <f aca="false">C72/C73</f>
        <v>16.7567567567568</v>
      </c>
      <c r="D74" s="37" t="n">
        <f aca="false">D72/D73</f>
        <v>24.6486486486487</v>
      </c>
      <c r="E74" s="37" t="n">
        <f aca="false">E72/E73</f>
        <v>2.9567519858782</v>
      </c>
      <c r="F74" s="37" t="n">
        <f aca="false">F72/F73</f>
        <v>4.30322029068111</v>
      </c>
      <c r="G74" s="37" t="n">
        <f aca="false">G72/G73</f>
        <v>5.59988600740952</v>
      </c>
    </row>
    <row r="76" customFormat="false" ht="18" hidden="false" customHeight="true" outlineLevel="0" collapsed="false">
      <c r="A76" s="6" t="s">
        <v>146</v>
      </c>
      <c r="B76" s="6"/>
      <c r="C76" s="6"/>
      <c r="D76" s="6"/>
      <c r="E76" s="6"/>
      <c r="F76" s="6"/>
      <c r="G76" s="6"/>
      <c r="H76" s="6"/>
      <c r="I76" s="6"/>
      <c r="J76" s="6"/>
    </row>
    <row r="77" customFormat="false" ht="15" hidden="false" customHeight="false" outlineLevel="0" collapsed="false">
      <c r="C77" s="19" t="s">
        <v>147</v>
      </c>
      <c r="D77" s="19" t="s">
        <v>148</v>
      </c>
      <c r="E77" s="19" t="s">
        <v>149</v>
      </c>
      <c r="F77" s="19" t="s">
        <v>150</v>
      </c>
      <c r="G77" s="19" t="s">
        <v>151</v>
      </c>
    </row>
    <row r="78" customFormat="false" ht="15" hidden="false" customHeight="false" outlineLevel="0" collapsed="false">
      <c r="B78" s="20" t="s">
        <v>152</v>
      </c>
      <c r="C78" s="21" t="n">
        <v>25000</v>
      </c>
      <c r="D78" s="21" t="n">
        <v>7000</v>
      </c>
      <c r="E78" s="21" t="n">
        <v>3200</v>
      </c>
      <c r="F78" s="21" t="n">
        <v>3850</v>
      </c>
      <c r="G78" s="38" t="n">
        <v>0.35</v>
      </c>
    </row>
    <row r="79" customFormat="false" ht="15" hidden="false" customHeight="false" outlineLevel="0" collapsed="false">
      <c r="B79" s="20" t="s">
        <v>153</v>
      </c>
      <c r="C79" s="21" t="n">
        <v>68000</v>
      </c>
      <c r="D79" s="21" t="n">
        <v>-1500</v>
      </c>
      <c r="E79" s="21" t="n">
        <v>32300</v>
      </c>
      <c r="F79" s="21" t="n">
        <v>33800</v>
      </c>
      <c r="G79" s="38" t="n">
        <v>0.05</v>
      </c>
    </row>
    <row r="80" customFormat="false" ht="15" hidden="false" customHeight="false" outlineLevel="0" collapsed="false">
      <c r="B80" s="20" t="s">
        <v>154</v>
      </c>
      <c r="C80" s="21" t="n">
        <v>46000</v>
      </c>
      <c r="D80" s="21" t="n">
        <v>-2600</v>
      </c>
      <c r="E80" s="21" t="n">
        <v>24500</v>
      </c>
      <c r="F80" s="21" t="n">
        <v>26400</v>
      </c>
      <c r="G80" s="38" t="n">
        <v>0.1</v>
      </c>
    </row>
    <row r="81" customFormat="false" ht="15" hidden="false" customHeight="false" outlineLevel="0" collapsed="false">
      <c r="B81" s="20" t="s">
        <v>155</v>
      </c>
      <c r="C81" s="21" t="n">
        <v>45000</v>
      </c>
      <c r="D81" s="21" t="n">
        <v>-1800</v>
      </c>
      <c r="E81" s="21" t="n">
        <v>2100</v>
      </c>
      <c r="F81" s="21" t="n">
        <v>2500</v>
      </c>
      <c r="G81" s="38" t="n">
        <v>0.22</v>
      </c>
    </row>
    <row r="83" customFormat="false" ht="39.75" hidden="false" customHeight="true" outlineLevel="0" collapsed="false">
      <c r="B83" s="15" t="s">
        <v>156</v>
      </c>
    </row>
  </sheetData>
  <mergeCells count="9">
    <mergeCell ref="A1:K1"/>
    <mergeCell ref="A2:K2"/>
    <mergeCell ref="A4:J4"/>
    <mergeCell ref="A16:J16"/>
    <mergeCell ref="A27:J27"/>
    <mergeCell ref="A50:J50"/>
    <mergeCell ref="B68:K68"/>
    <mergeCell ref="A70:J70"/>
    <mergeCell ref="A76:J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9" min="2" style="0" width="12"/>
    <col collapsed="false" customWidth="true" hidden="false" outlineLevel="0" max="10" min="10" style="0" width="3"/>
    <col collapsed="false" customWidth="true" hidden="false" outlineLevel="0" max="11" min="11" style="0" width="34"/>
  </cols>
  <sheetData>
    <row r="1" customFormat="false" ht="24" hidden="false" customHeight="true" outlineLevel="0" collapsed="false">
      <c r="A1" s="16" t="s">
        <v>23</v>
      </c>
      <c r="B1" s="16"/>
      <c r="C1" s="16"/>
      <c r="D1" s="16"/>
      <c r="E1" s="16"/>
      <c r="F1" s="16"/>
      <c r="G1" s="16"/>
      <c r="H1" s="16"/>
      <c r="I1" s="16"/>
    </row>
    <row r="2" customFormat="false" ht="15.75" hidden="false" customHeight="true" outlineLevel="0" collapsed="false">
      <c r="A2" s="17" t="s">
        <v>157</v>
      </c>
      <c r="B2" s="17"/>
      <c r="C2" s="17"/>
      <c r="D2" s="17"/>
      <c r="E2" s="17"/>
      <c r="F2" s="17"/>
      <c r="G2" s="17"/>
      <c r="H2" s="17"/>
      <c r="I2" s="17"/>
    </row>
    <row r="4" customFormat="false" ht="15" hidden="false" customHeight="false" outlineLevel="0" collapsed="false">
      <c r="B4" s="19" t="s">
        <v>70</v>
      </c>
      <c r="C4" s="19" t="s">
        <v>71</v>
      </c>
      <c r="D4" s="19" t="s">
        <v>72</v>
      </c>
      <c r="E4" s="19" t="s">
        <v>93</v>
      </c>
      <c r="F4" s="19" t="s">
        <v>94</v>
      </c>
      <c r="G4" s="19" t="s">
        <v>95</v>
      </c>
      <c r="H4" s="19" t="s">
        <v>96</v>
      </c>
      <c r="I4" s="19" t="s">
        <v>97</v>
      </c>
    </row>
    <row r="5" customFormat="false" ht="15.75" hidden="false" customHeight="true" outlineLevel="0" collapsed="false">
      <c r="A5" s="6" t="s">
        <v>158</v>
      </c>
      <c r="B5" s="6"/>
      <c r="C5" s="6"/>
      <c r="D5" s="6"/>
      <c r="E5" s="6"/>
      <c r="F5" s="6"/>
      <c r="G5" s="6"/>
      <c r="H5" s="6"/>
      <c r="I5" s="6"/>
    </row>
    <row r="6" customFormat="false" ht="15" hidden="false" customHeight="false" outlineLevel="0" collapsed="false">
      <c r="A6" s="39" t="s">
        <v>73</v>
      </c>
      <c r="B6" s="40" t="n">
        <f aca="false">Assumptions!E6</f>
        <v>92465</v>
      </c>
      <c r="C6" s="40" t="n">
        <f aca="false">Assumptions!F6</f>
        <v>105015</v>
      </c>
      <c r="D6" s="40" t="n">
        <f aca="false">Assumptions!G6</f>
        <v>127900</v>
      </c>
      <c r="E6" s="40" t="n">
        <f aca="false">D6*(1+Assumptions!C29)</f>
        <v>158596</v>
      </c>
      <c r="F6" s="40" t="n">
        <f aca="false">E6*(1+Assumptions!D29)</f>
        <v>190315.2</v>
      </c>
      <c r="G6" s="40" t="n">
        <f aca="false">F6*(1+Assumptions!E29)</f>
        <v>222668.784</v>
      </c>
      <c r="H6" s="40" t="n">
        <f aca="false">G6*(1+Assumptions!F29)</f>
        <v>253842.41376</v>
      </c>
      <c r="I6" s="40" t="n">
        <f aca="false">H6*(1+Assumptions!G29)</f>
        <v>284303.5034112</v>
      </c>
    </row>
    <row r="7" customFormat="false" ht="15" hidden="false" customHeight="false" outlineLevel="0" collapsed="false">
      <c r="A7" s="41" t="s">
        <v>159</v>
      </c>
      <c r="C7" s="22" t="n">
        <f aca="false">C6/B6-1</f>
        <v>0.135727031849889</v>
      </c>
      <c r="D7" s="22" t="n">
        <f aca="false">D6/C6-1</f>
        <v>0.217921249345332</v>
      </c>
      <c r="E7" s="22" t="n">
        <f aca="false">E6/D6-1</f>
        <v>0.24</v>
      </c>
      <c r="F7" s="22" t="n">
        <f aca="false">F6/E6-1</f>
        <v>0.2</v>
      </c>
      <c r="G7" s="22" t="n">
        <f aca="false">G6/F6-1</f>
        <v>0.17</v>
      </c>
      <c r="H7" s="22" t="n">
        <f aca="false">H6/G6-1</f>
        <v>0.14</v>
      </c>
      <c r="I7" s="22" t="n">
        <f aca="false">I6/H6-1</f>
        <v>0.12</v>
      </c>
    </row>
    <row r="8" customFormat="false" ht="15" hidden="false" customHeight="false" outlineLevel="0" collapsed="false">
      <c r="A8" s="42" t="s">
        <v>76</v>
      </c>
      <c r="B8" s="43" t="n">
        <f aca="false">Assumptions!E9</f>
        <v>0.0246147190828962</v>
      </c>
      <c r="C8" s="43" t="n">
        <f aca="false">Assumptions!F9</f>
        <v>0.0267676046279103</v>
      </c>
      <c r="D8" s="43" t="n">
        <f aca="false">Assumptions!G9</f>
        <v>0.0274354964816263</v>
      </c>
      <c r="E8" s="43" t="n">
        <f aca="false">Assumptions!C30</f>
        <v>0.0278</v>
      </c>
      <c r="F8" s="43" t="n">
        <f aca="false">Assumptions!D30</f>
        <v>0.0285</v>
      </c>
      <c r="G8" s="43" t="n">
        <f aca="false">Assumptions!E30</f>
        <v>0.0292</v>
      </c>
      <c r="H8" s="43" t="n">
        <f aca="false">Assumptions!F30</f>
        <v>0.0298</v>
      </c>
      <c r="I8" s="43" t="n">
        <f aca="false">Assumptions!G30</f>
        <v>0.0303</v>
      </c>
    </row>
    <row r="9" customFormat="false" ht="15" hidden="false" customHeight="false" outlineLevel="0" collapsed="false">
      <c r="A9" s="39" t="s">
        <v>74</v>
      </c>
      <c r="B9" s="44" t="n">
        <f aca="false">B6*B8</f>
        <v>2276</v>
      </c>
      <c r="C9" s="44" t="n">
        <f aca="false">C6*C8</f>
        <v>2811</v>
      </c>
      <c r="D9" s="44" t="n">
        <f aca="false">D6*D8</f>
        <v>3509</v>
      </c>
      <c r="E9" s="44" t="n">
        <f aca="false">E6*E8</f>
        <v>4408.9688</v>
      </c>
      <c r="F9" s="44" t="n">
        <f aca="false">F6*F8</f>
        <v>5423.9832</v>
      </c>
      <c r="G9" s="44" t="n">
        <f aca="false">G6*G8</f>
        <v>6501.9284928</v>
      </c>
      <c r="H9" s="44" t="n">
        <f aca="false">H6*H8</f>
        <v>7564.503930048</v>
      </c>
      <c r="I9" s="44" t="n">
        <f aca="false">I6*I8</f>
        <v>8614.39615335936</v>
      </c>
    </row>
    <row r="10" customFormat="false" ht="15" hidden="false" customHeight="false" outlineLevel="0" collapsed="false">
      <c r="A10" s="41" t="s">
        <v>160</v>
      </c>
      <c r="C10" s="22" t="n">
        <f aca="false">C9/B9-1</f>
        <v>0.23506151142355</v>
      </c>
      <c r="D10" s="22" t="n">
        <f aca="false">D9/C9-1</f>
        <v>0.248310209889719</v>
      </c>
      <c r="E10" s="22" t="n">
        <f aca="false">E9/D9-1</f>
        <v>0.256474437161584</v>
      </c>
      <c r="F10" s="22" t="n">
        <f aca="false">F9/E9-1</f>
        <v>0.23021582733813</v>
      </c>
      <c r="G10" s="22" t="n">
        <f aca="false">G9/F9-1</f>
        <v>0.198736842105263</v>
      </c>
      <c r="H10" s="22" t="n">
        <f aca="false">H9/G9-1</f>
        <v>0.163424657534247</v>
      </c>
      <c r="I10" s="22" t="n">
        <f aca="false">I9/H9-1</f>
        <v>0.138791946308725</v>
      </c>
    </row>
    <row r="12" customFormat="false" ht="15.75" hidden="false" customHeight="true" outlineLevel="0" collapsed="false">
      <c r="A12" s="6" t="s">
        <v>161</v>
      </c>
      <c r="B12" s="6"/>
      <c r="C12" s="6"/>
      <c r="D12" s="6"/>
      <c r="E12" s="6"/>
      <c r="F12" s="6"/>
      <c r="G12" s="6"/>
      <c r="H12" s="6"/>
      <c r="I12" s="6"/>
    </row>
    <row r="13" customFormat="false" ht="15" hidden="false" customHeight="false" outlineLevel="0" collapsed="false">
      <c r="A13" s="42" t="s">
        <v>78</v>
      </c>
      <c r="B13" s="43" t="n">
        <f aca="false">Assumptions!E11</f>
        <v>0.00381766073649489</v>
      </c>
      <c r="C13" s="43" t="n">
        <f aca="false">Assumptions!F11</f>
        <v>0.00471361234109413</v>
      </c>
      <c r="D13" s="43" t="n">
        <f aca="false">Assumptions!G11</f>
        <v>0.00620797498045348</v>
      </c>
      <c r="E13" s="43" t="n">
        <f aca="false">Assumptions!C31</f>
        <v>0.006</v>
      </c>
      <c r="F13" s="43" t="n">
        <f aca="false">Assumptions!D31</f>
        <v>0.0058</v>
      </c>
      <c r="G13" s="43" t="n">
        <f aca="false">Assumptions!E31</f>
        <v>0.0055</v>
      </c>
      <c r="H13" s="43" t="n">
        <f aca="false">Assumptions!F31</f>
        <v>0.0053</v>
      </c>
      <c r="I13" s="43" t="n">
        <f aca="false">Assumptions!G31</f>
        <v>0.005</v>
      </c>
    </row>
    <row r="14" customFormat="false" ht="15" hidden="false" customHeight="false" outlineLevel="0" collapsed="false">
      <c r="A14" s="42" t="s">
        <v>77</v>
      </c>
      <c r="B14" s="21" t="n">
        <v>-353</v>
      </c>
      <c r="C14" s="21" t="n">
        <v>-495</v>
      </c>
      <c r="D14" s="21" t="n">
        <v>-794</v>
      </c>
      <c r="E14" s="27" t="n">
        <f aca="false">-E6*E13</f>
        <v>-951.576</v>
      </c>
      <c r="F14" s="27" t="n">
        <f aca="false">-F6*F13</f>
        <v>-1103.82816</v>
      </c>
      <c r="G14" s="27" t="n">
        <f aca="false">-G6*G13</f>
        <v>-1224.678312</v>
      </c>
      <c r="H14" s="27" t="n">
        <f aca="false">-H6*H13</f>
        <v>-1345.364792928</v>
      </c>
      <c r="I14" s="27" t="n">
        <f aca="false">-I6*I13</f>
        <v>-1421.517517056</v>
      </c>
    </row>
    <row r="15" customFormat="false" ht="15" hidden="false" customHeight="false" outlineLevel="0" collapsed="false">
      <c r="A15" s="42" t="s">
        <v>162</v>
      </c>
      <c r="B15" s="21" t="n">
        <v>-541</v>
      </c>
      <c r="C15" s="21" t="n">
        <v>-596</v>
      </c>
      <c r="D15" s="21" t="n">
        <v>-809</v>
      </c>
      <c r="E15" s="40" t="n">
        <f aca="false">-E9*Assumptions!C32</f>
        <v>-1072.26121216</v>
      </c>
      <c r="F15" s="40" t="n">
        <f aca="false">-F9*Assumptions!D32</f>
        <v>-1309.8919428</v>
      </c>
      <c r="G15" s="40" t="n">
        <f aca="false">-G9*Assumptions!E32</f>
        <v>-1570.86592386048</v>
      </c>
      <c r="H15" s="40" t="n">
        <f aca="false">-H9*Assumptions!F32</f>
        <v>-1804.89063770945</v>
      </c>
      <c r="I15" s="40" t="n">
        <f aca="false">-I9*Assumptions!G32</f>
        <v>-2043.33476757684</v>
      </c>
    </row>
    <row r="16" customFormat="false" ht="15" hidden="false" customHeight="false" outlineLevel="0" collapsed="false">
      <c r="A16" s="42" t="s">
        <v>163</v>
      </c>
      <c r="B16" s="21" t="n">
        <v>-297</v>
      </c>
      <c r="C16" s="21" t="n">
        <v>-503</v>
      </c>
      <c r="D16" s="21" t="n">
        <v>-667</v>
      </c>
      <c r="E16" s="40" t="n">
        <f aca="false">-E9*Assumptions!C33</f>
        <v>-577.5749128</v>
      </c>
      <c r="F16" s="40" t="n">
        <f aca="false">-F9*Assumptions!D33</f>
        <v>-705.117816</v>
      </c>
      <c r="G16" s="40" t="n">
        <f aca="false">-G9*Assumptions!E33</f>
        <v>-845.90089691328</v>
      </c>
      <c r="H16" s="40" t="n">
        <f aca="false">-H9*Assumptions!F33</f>
        <v>-972.038755011168</v>
      </c>
      <c r="I16" s="40" t="n">
        <f aca="false">-I9*Assumptions!G33</f>
        <v>-1100.05838878399</v>
      </c>
    </row>
    <row r="17" customFormat="false" ht="15" hidden="false" customHeight="false" outlineLevel="0" collapsed="false">
      <c r="A17" s="42" t="s">
        <v>164</v>
      </c>
      <c r="B17" s="44" t="n">
        <f aca="false">SUM(B14:B16)</f>
        <v>-1191</v>
      </c>
      <c r="C17" s="44" t="n">
        <f aca="false">SUM(C14:C16)</f>
        <v>-1594</v>
      </c>
      <c r="D17" s="44" t="n">
        <f aca="false">SUM(D14:D16)</f>
        <v>-2270</v>
      </c>
      <c r="E17" s="44" t="n">
        <f aca="false">SUM(E14:E16)</f>
        <v>-2601.41212496</v>
      </c>
      <c r="F17" s="44" t="n">
        <f aca="false">SUM(F14:F16)</f>
        <v>-3118.8379188</v>
      </c>
      <c r="G17" s="44" t="n">
        <f aca="false">SUM(G14:G16)</f>
        <v>-3641.44513277376</v>
      </c>
      <c r="H17" s="44" t="n">
        <f aca="false">SUM(H14:H16)</f>
        <v>-4122.29418564862</v>
      </c>
      <c r="I17" s="44" t="n">
        <f aca="false">SUM(I14:I16)</f>
        <v>-4564.91067341683</v>
      </c>
    </row>
    <row r="19" customFormat="false" ht="15" hidden="false" customHeight="false" outlineLevel="0" collapsed="false">
      <c r="A19" s="39" t="s">
        <v>165</v>
      </c>
      <c r="B19" s="44" t="n">
        <f aca="false">B9+B17</f>
        <v>1085</v>
      </c>
      <c r="C19" s="44" t="n">
        <f aca="false">C9+C17</f>
        <v>1217</v>
      </c>
      <c r="D19" s="44" t="n">
        <f aca="false">D9+D17</f>
        <v>1239</v>
      </c>
      <c r="E19" s="44" t="n">
        <f aca="false">E9+E17</f>
        <v>1807.55667504</v>
      </c>
      <c r="F19" s="44" t="n">
        <f aca="false">F9+F17</f>
        <v>2305.1452812</v>
      </c>
      <c r="G19" s="44" t="n">
        <f aca="false">G9+G17</f>
        <v>2860.48336002624</v>
      </c>
      <c r="H19" s="44" t="n">
        <f aca="false">H9+H17</f>
        <v>3442.20974439938</v>
      </c>
      <c r="I19" s="44" t="n">
        <f aca="false">I9+I17</f>
        <v>4049.48547994253</v>
      </c>
    </row>
    <row r="20" customFormat="false" ht="15" hidden="false" customHeight="false" outlineLevel="0" collapsed="false">
      <c r="A20" s="41" t="s">
        <v>166</v>
      </c>
      <c r="B20" s="22" t="n">
        <f aca="false">B19/B9</f>
        <v>0.476713532513181</v>
      </c>
      <c r="C20" s="22" t="n">
        <f aca="false">C19/C9</f>
        <v>0.432942013518321</v>
      </c>
      <c r="D20" s="22" t="n">
        <f aca="false">D19/D9</f>
        <v>0.353092049016814</v>
      </c>
      <c r="E20" s="22" t="n">
        <f aca="false">E19/E9</f>
        <v>0.409972661870504</v>
      </c>
      <c r="F20" s="22" t="n">
        <f aca="false">F19/F9</f>
        <v>0.424991228070175</v>
      </c>
      <c r="G20" s="22" t="n">
        <f aca="false">G19/G9</f>
        <v>0.439943835616438</v>
      </c>
      <c r="H20" s="22" t="n">
        <f aca="false">H19/H9</f>
        <v>0.455047651006711</v>
      </c>
      <c r="I20" s="22" t="n">
        <f aca="false">I19/I9</f>
        <v>0.470083498349835</v>
      </c>
    </row>
    <row r="22" customFormat="false" ht="15.75" hidden="false" customHeight="true" outlineLevel="0" collapsed="false">
      <c r="A22" s="6" t="s">
        <v>167</v>
      </c>
      <c r="B22" s="6"/>
      <c r="C22" s="6"/>
      <c r="D22" s="6"/>
      <c r="E22" s="6"/>
      <c r="F22" s="6"/>
      <c r="G22" s="6"/>
      <c r="H22" s="6"/>
      <c r="I22" s="6"/>
    </row>
    <row r="23" customFormat="false" ht="15" hidden="false" customHeight="false" outlineLevel="0" collapsed="false">
      <c r="A23" s="42" t="s">
        <v>168</v>
      </c>
      <c r="B23" s="21" t="n">
        <v>-389</v>
      </c>
      <c r="C23" s="21" t="n">
        <v>-444</v>
      </c>
      <c r="D23" s="21" t="n">
        <v>-486</v>
      </c>
      <c r="E23" s="40" t="n">
        <f aca="false">-E9*Assumptions!C34</f>
        <v>-441.77867376</v>
      </c>
      <c r="F23" s="40" t="n">
        <f aca="false">-F9*Assumptions!D34</f>
        <v>-521.24478552</v>
      </c>
      <c r="G23" s="40" t="n">
        <f aca="false">-G9*Assumptions!E34</f>
        <v>-597.52722848832</v>
      </c>
      <c r="H23" s="40" t="n">
        <f aca="false">-H9*Assumptions!F34</f>
        <v>-684.587605669344</v>
      </c>
      <c r="I23" s="40" t="n">
        <f aca="false">-I9*Assumptions!G34</f>
        <v>-767.542697264319</v>
      </c>
    </row>
    <row r="24" customFormat="false" ht="15" hidden="false" customHeight="false" outlineLevel="0" collapsed="false">
      <c r="A24" s="42" t="s">
        <v>169</v>
      </c>
      <c r="B24" s="21" t="n">
        <v>-381</v>
      </c>
      <c r="C24" s="21" t="n">
        <v>-328</v>
      </c>
      <c r="D24" s="21" t="n">
        <v>-414</v>
      </c>
      <c r="E24" s="40" t="n">
        <f aca="false">-E9*Assumptions!C35</f>
        <v>-595.65168488</v>
      </c>
      <c r="F24" s="40" t="n">
        <f aca="false">-F9*Assumptions!D35</f>
        <v>-702.4058244</v>
      </c>
      <c r="G24" s="40" t="n">
        <f aca="false">-G9*Assumptions!E35</f>
        <v>-804.93874740864</v>
      </c>
      <c r="H24" s="40" t="n">
        <f aca="false">-H9*Assumptions!F35</f>
        <v>-922.869479465856</v>
      </c>
      <c r="I24" s="40" t="n">
        <f aca="false">-I9*Assumptions!G35</f>
        <v>-1034.58897801846</v>
      </c>
    </row>
    <row r="25" customFormat="false" ht="15" hidden="false" customHeight="false" outlineLevel="0" collapsed="false">
      <c r="A25" s="42" t="s">
        <v>170</v>
      </c>
      <c r="B25" s="21" t="n">
        <v>-240</v>
      </c>
      <c r="C25" s="21" t="n">
        <v>-203</v>
      </c>
      <c r="D25" s="21" t="n">
        <v>-207</v>
      </c>
      <c r="E25" s="40" t="n">
        <f aca="false">-E9*Assumptions!C36</f>
        <v>-288.34655952</v>
      </c>
      <c r="F25" s="40" t="n">
        <f aca="false">-F9*Assumptions!D36</f>
        <v>-340.08374664</v>
      </c>
      <c r="G25" s="40" t="n">
        <f aca="false">-G9*Assumptions!E36</f>
        <v>-389.46551671872</v>
      </c>
      <c r="H25" s="40" t="n">
        <f aca="false">-H9*Assumptions!F36</f>
        <v>-446.305731872832</v>
      </c>
      <c r="I25" s="40" t="n">
        <f aca="false">-I9*Assumptions!G36</f>
        <v>-500.496416510179</v>
      </c>
    </row>
    <row r="26" customFormat="false" ht="15" hidden="false" customHeight="false" outlineLevel="0" collapsed="false">
      <c r="A26" s="42" t="s">
        <v>171</v>
      </c>
      <c r="B26" s="21" t="n">
        <v>-270</v>
      </c>
      <c r="C26" s="21" t="n">
        <v>-281</v>
      </c>
      <c r="D26" s="21" t="n">
        <v>-306</v>
      </c>
      <c r="E26" s="40" t="n">
        <f aca="false">-E9*Assumptions!C37</f>
        <v>-261.45184984</v>
      </c>
      <c r="F26" s="40" t="n">
        <f aca="false">-F9*Assumptions!D37</f>
        <v>-308.08224576</v>
      </c>
      <c r="G26" s="40" t="n">
        <f aca="false">-G9*Assumptions!E37</f>
        <v>-353.05471715904</v>
      </c>
      <c r="H26" s="40" t="n">
        <f aca="false">-H9*Assumptions!F37</f>
        <v>-404.700960257568</v>
      </c>
      <c r="I26" s="40" t="n">
        <f aca="false">-I9*Assumptions!G37</f>
        <v>-453.978677282038</v>
      </c>
    </row>
    <row r="27" customFormat="false" ht="15" hidden="false" customHeight="false" outlineLevel="0" collapsed="false">
      <c r="A27" s="42" t="s">
        <v>172</v>
      </c>
      <c r="B27" s="44" t="n">
        <f aca="false">SUM(B23:B26)</f>
        <v>-1280</v>
      </c>
      <c r="C27" s="44" t="n">
        <f aca="false">SUM(C23:C26)</f>
        <v>-1256</v>
      </c>
      <c r="D27" s="44" t="n">
        <f aca="false">SUM(D23:D26)</f>
        <v>-1413</v>
      </c>
      <c r="E27" s="44" t="n">
        <f aca="false">SUM(E23:E26)</f>
        <v>-1587.228768</v>
      </c>
      <c r="F27" s="44" t="n">
        <f aca="false">SUM(F23:F26)</f>
        <v>-1871.81660232</v>
      </c>
      <c r="G27" s="44" t="n">
        <f aca="false">SUM(G23:G26)</f>
        <v>-2144.98620977472</v>
      </c>
      <c r="H27" s="44" t="n">
        <f aca="false">SUM(H23:H26)</f>
        <v>-2458.4637772656</v>
      </c>
      <c r="I27" s="44" t="n">
        <f aca="false">SUM(I23:I26)</f>
        <v>-2756.606769075</v>
      </c>
    </row>
    <row r="29" customFormat="false" ht="15" hidden="false" customHeight="false" outlineLevel="0" collapsed="false">
      <c r="A29" s="39" t="s">
        <v>173</v>
      </c>
      <c r="B29" s="44" t="n">
        <f aca="false">B19+B27</f>
        <v>-195</v>
      </c>
      <c r="C29" s="44" t="n">
        <f aca="false">C19+C27</f>
        <v>-39</v>
      </c>
      <c r="D29" s="44" t="n">
        <f aca="false">D19+D27</f>
        <v>-174</v>
      </c>
      <c r="E29" s="44" t="n">
        <f aca="false">E19+E27</f>
        <v>220.327907039999</v>
      </c>
      <c r="F29" s="44" t="n">
        <f aca="false">F19+F27</f>
        <v>433.32867888</v>
      </c>
      <c r="G29" s="44" t="n">
        <f aca="false">G19+G27</f>
        <v>715.49715025152</v>
      </c>
      <c r="H29" s="44" t="n">
        <f aca="false">H19+H27</f>
        <v>983.745967133779</v>
      </c>
      <c r="I29" s="44" t="n">
        <f aca="false">I19+I27</f>
        <v>1292.87871086753</v>
      </c>
    </row>
    <row r="30" customFormat="false" ht="15" hidden="false" customHeight="false" outlineLevel="0" collapsed="false">
      <c r="A30" s="41" t="s">
        <v>174</v>
      </c>
      <c r="B30" s="22" t="n">
        <f aca="false">B29/B9</f>
        <v>-0.085676625659051</v>
      </c>
      <c r="C30" s="22" t="n">
        <f aca="false">C29/C9</f>
        <v>-0.0138740661686233</v>
      </c>
      <c r="D30" s="22" t="n">
        <f aca="false">D29/D9</f>
        <v>-0.0495867768595041</v>
      </c>
      <c r="E30" s="22" t="n">
        <f aca="false">E29/E9</f>
        <v>0.0499726618705035</v>
      </c>
      <c r="F30" s="22" t="n">
        <f aca="false">F29/F9</f>
        <v>0.0798912280701754</v>
      </c>
      <c r="G30" s="22" t="n">
        <f aca="false">G29/G9</f>
        <v>0.110043835616438</v>
      </c>
      <c r="H30" s="22" t="n">
        <f aca="false">H29/H9</f>
        <v>0.130047651006711</v>
      </c>
      <c r="I30" s="22" t="n">
        <f aca="false">I29/I9</f>
        <v>0.150083498349835</v>
      </c>
    </row>
    <row r="32" customFormat="false" ht="15" hidden="false" customHeight="false" outlineLevel="0" collapsed="false">
      <c r="A32" s="42" t="s">
        <v>175</v>
      </c>
      <c r="B32" s="21" t="n">
        <v>-49</v>
      </c>
      <c r="C32" s="21" t="n">
        <v>181</v>
      </c>
      <c r="D32" s="21" t="n">
        <v>65</v>
      </c>
    </row>
    <row r="34" customFormat="false" ht="15.75" hidden="false" customHeight="true" outlineLevel="0" collapsed="false">
      <c r="A34" s="6" t="s">
        <v>176</v>
      </c>
      <c r="B34" s="6"/>
      <c r="C34" s="6"/>
      <c r="D34" s="6"/>
      <c r="E34" s="6"/>
      <c r="F34" s="6"/>
      <c r="G34" s="6"/>
      <c r="H34" s="6"/>
      <c r="I34" s="6"/>
    </row>
    <row r="35" customFormat="false" ht="15" hidden="false" customHeight="false" outlineLevel="0" collapsed="false">
      <c r="A35" s="42" t="s">
        <v>177</v>
      </c>
      <c r="B35" s="21" t="n">
        <v>-128</v>
      </c>
      <c r="C35" s="21" t="n">
        <v>-82</v>
      </c>
      <c r="D35" s="21" t="n">
        <v>-55</v>
      </c>
      <c r="E35" s="40" t="n">
        <f aca="false">-E9*Assumptions!C38</f>
        <v>-79.3614384</v>
      </c>
      <c r="F35" s="40" t="n">
        <f aca="false">-F9*Assumptions!D38</f>
        <v>-92.2077144</v>
      </c>
      <c r="G35" s="40" t="n">
        <f aca="false">-G9*Assumptions!E38</f>
        <v>-104.0308558848</v>
      </c>
      <c r="H35" s="40" t="n">
        <f aca="false">-H9*Assumptions!F38</f>
        <v>-113.46755895072</v>
      </c>
      <c r="I35" s="40" t="n">
        <f aca="false">-I9*Assumptions!G38</f>
        <v>-129.21594230039</v>
      </c>
    </row>
    <row r="36" customFormat="false" ht="15" hidden="false" customHeight="false" outlineLevel="0" collapsed="false">
      <c r="A36" s="39" t="s">
        <v>178</v>
      </c>
      <c r="B36" s="44" t="n">
        <f aca="false">B29+B35</f>
        <v>-323</v>
      </c>
      <c r="C36" s="44" t="n">
        <f aca="false">C29+C35</f>
        <v>-121</v>
      </c>
      <c r="D36" s="44" t="n">
        <f aca="false">D29+D35</f>
        <v>-229</v>
      </c>
      <c r="E36" s="44" t="n">
        <f aca="false">E29+E35</f>
        <v>140.966468639999</v>
      </c>
      <c r="F36" s="44" t="n">
        <f aca="false">F29+F35</f>
        <v>341.12096448</v>
      </c>
      <c r="G36" s="44" t="n">
        <f aca="false">G29+G35</f>
        <v>611.46629436672</v>
      </c>
      <c r="H36" s="44" t="n">
        <f aca="false">H29+H35</f>
        <v>870.278408183059</v>
      </c>
      <c r="I36" s="44" t="n">
        <f aca="false">I29+I35</f>
        <v>1163.66276856714</v>
      </c>
    </row>
    <row r="38" customFormat="false" ht="15" hidden="false" customHeight="false" outlineLevel="0" collapsed="false">
      <c r="A38" s="42" t="s">
        <v>179</v>
      </c>
      <c r="B38" s="21" t="n">
        <v>19</v>
      </c>
      <c r="C38" s="21" t="n">
        <v>154</v>
      </c>
      <c r="D38" s="21" t="n">
        <v>-11</v>
      </c>
      <c r="E38" s="40" t="n">
        <f aca="false">Assumptions!C41</f>
        <v>-20</v>
      </c>
      <c r="F38" s="40" t="n">
        <f aca="false">Assumptions!D41</f>
        <v>10</v>
      </c>
      <c r="G38" s="40" t="n">
        <f aca="false">Assumptions!E41</f>
        <v>40</v>
      </c>
      <c r="H38" s="40" t="n">
        <f aca="false">Assumptions!F41</f>
        <v>70</v>
      </c>
      <c r="I38" s="40" t="n">
        <f aca="false">Assumptions!G41</f>
        <v>100</v>
      </c>
    </row>
    <row r="39" customFormat="false" ht="15" hidden="false" customHeight="false" outlineLevel="0" collapsed="false">
      <c r="A39" s="39" t="s">
        <v>180</v>
      </c>
      <c r="B39" s="27" t="n">
        <f aca="false">B36+B38</f>
        <v>-304</v>
      </c>
      <c r="C39" s="27" t="n">
        <f aca="false">C36+C38</f>
        <v>33</v>
      </c>
      <c r="D39" s="27" t="n">
        <f aca="false">D36+D38</f>
        <v>-240</v>
      </c>
      <c r="E39" s="27" t="n">
        <f aca="false">E36+E38</f>
        <v>120.966468639999</v>
      </c>
      <c r="F39" s="27" t="n">
        <f aca="false">F36+F38</f>
        <v>351.12096448</v>
      </c>
      <c r="G39" s="27" t="n">
        <f aca="false">G36+G38</f>
        <v>651.46629436672</v>
      </c>
      <c r="H39" s="27" t="n">
        <f aca="false">H36+H38</f>
        <v>940.278408183059</v>
      </c>
      <c r="I39" s="27" t="n">
        <f aca="false">I36+I38</f>
        <v>1263.66276856714</v>
      </c>
    </row>
    <row r="40" customFormat="false" ht="15" hidden="false" customHeight="false" outlineLevel="0" collapsed="false">
      <c r="A40" s="42" t="s">
        <v>181</v>
      </c>
      <c r="B40" s="21" t="n">
        <v>60</v>
      </c>
      <c r="C40" s="21" t="n">
        <v>-12</v>
      </c>
      <c r="D40" s="21" t="n">
        <v>-32</v>
      </c>
      <c r="E40" s="40" t="n">
        <f aca="false">-MAX(E39,0)*Assumptions!C42</f>
        <v>-31.4512818463999</v>
      </c>
      <c r="F40" s="40" t="n">
        <f aca="false">-MAX(F39,0)*Assumptions!D42</f>
        <v>-91.2914507647999</v>
      </c>
      <c r="G40" s="40" t="n">
        <f aca="false">-MAX(G39,0)*Assumptions!E42</f>
        <v>-162.86657359168</v>
      </c>
      <c r="H40" s="40" t="n">
        <f aca="false">-MAX(H39,0)*Assumptions!F42</f>
        <v>-235.069602045765</v>
      </c>
      <c r="I40" s="40" t="n">
        <f aca="false">-MAX(I39,0)*Assumptions!G42</f>
        <v>-303.279064456115</v>
      </c>
    </row>
    <row r="41" customFormat="false" ht="15" hidden="false" customHeight="false" outlineLevel="0" collapsed="false">
      <c r="A41" s="39" t="s">
        <v>182</v>
      </c>
      <c r="B41" s="44" t="n">
        <f aca="false">B39+B40</f>
        <v>-244</v>
      </c>
      <c r="C41" s="44" t="n">
        <f aca="false">C39+C40</f>
        <v>21</v>
      </c>
      <c r="D41" s="44" t="n">
        <f aca="false">D39+D40</f>
        <v>-272</v>
      </c>
      <c r="E41" s="44" t="n">
        <f aca="false">E39+E40</f>
        <v>89.5151867935996</v>
      </c>
      <c r="F41" s="44" t="n">
        <f aca="false">F39+F40</f>
        <v>259.8295137152</v>
      </c>
      <c r="G41" s="44" t="n">
        <f aca="false">G39+G40</f>
        <v>488.59972077504</v>
      </c>
      <c r="H41" s="44" t="n">
        <f aca="false">H39+H40</f>
        <v>705.208806137295</v>
      </c>
      <c r="I41" s="44" t="n">
        <f aca="false">I39+I40</f>
        <v>960.38370411103</v>
      </c>
    </row>
    <row r="42" customFormat="false" ht="15" hidden="false" customHeight="false" outlineLevel="0" collapsed="false">
      <c r="A42" s="42" t="s">
        <v>183</v>
      </c>
      <c r="B42" s="21" t="n">
        <v>-5</v>
      </c>
      <c r="C42" s="21" t="n">
        <v>-18</v>
      </c>
      <c r="D42" s="21" t="n">
        <v>-21</v>
      </c>
      <c r="E42" s="21" t="n">
        <v>0</v>
      </c>
      <c r="F42" s="21" t="n">
        <v>0</v>
      </c>
      <c r="G42" s="21" t="n">
        <v>0</v>
      </c>
      <c r="H42" s="21" t="n">
        <v>0</v>
      </c>
      <c r="I42" s="21" t="n">
        <v>0</v>
      </c>
    </row>
    <row r="43" customFormat="false" ht="15" hidden="false" customHeight="false" outlineLevel="0" collapsed="false">
      <c r="A43" s="39" t="s">
        <v>184</v>
      </c>
      <c r="B43" s="44" t="n">
        <f aca="false">B41+B42</f>
        <v>-249</v>
      </c>
      <c r="C43" s="44" t="n">
        <f aca="false">C41+C42</f>
        <v>3</v>
      </c>
      <c r="D43" s="44" t="n">
        <f aca="false">D41+D42</f>
        <v>-293</v>
      </c>
      <c r="E43" s="44" t="n">
        <f aca="false">E41+E42</f>
        <v>89.5151867935996</v>
      </c>
      <c r="F43" s="44" t="n">
        <f aca="false">F41+F42</f>
        <v>259.8295137152</v>
      </c>
      <c r="G43" s="44" t="n">
        <f aca="false">G41+G42</f>
        <v>488.59972077504</v>
      </c>
      <c r="H43" s="44" t="n">
        <f aca="false">H41+H42</f>
        <v>705.208806137295</v>
      </c>
      <c r="I43" s="44" t="n">
        <f aca="false">I41+I42</f>
        <v>960.38370411103</v>
      </c>
    </row>
    <row r="45" customFormat="false" ht="15.75" hidden="false" customHeight="true" outlineLevel="0" collapsed="false">
      <c r="A45" s="6" t="s">
        <v>185</v>
      </c>
      <c r="B45" s="6"/>
      <c r="C45" s="6"/>
      <c r="D45" s="6"/>
      <c r="E45" s="6"/>
      <c r="F45" s="6"/>
      <c r="G45" s="6"/>
      <c r="H45" s="6"/>
      <c r="I45" s="6"/>
    </row>
    <row r="46" customFormat="false" ht="15" hidden="false" customHeight="false" outlineLevel="0" collapsed="false">
      <c r="A46" s="42" t="s">
        <v>114</v>
      </c>
      <c r="D46" s="26" t="n">
        <v>372.2</v>
      </c>
      <c r="E46" s="45" t="n">
        <f aca="false">Assumptions!C45</f>
        <v>380</v>
      </c>
      <c r="F46" s="45" t="n">
        <f aca="false">Assumptions!D45</f>
        <v>383</v>
      </c>
      <c r="G46" s="45" t="n">
        <f aca="false">Assumptions!E45</f>
        <v>386</v>
      </c>
      <c r="H46" s="45" t="n">
        <f aca="false">Assumptions!F45</f>
        <v>389</v>
      </c>
      <c r="I46" s="45" t="n">
        <f aca="false">Assumptions!G45</f>
        <v>392</v>
      </c>
    </row>
    <row r="47" customFormat="false" ht="15" hidden="false" customHeight="false" outlineLevel="0" collapsed="false">
      <c r="A47" s="42" t="s">
        <v>186</v>
      </c>
      <c r="D47" s="46" t="n">
        <f aca="false">D43/D46</f>
        <v>-0.787211176786674</v>
      </c>
      <c r="E47" s="46" t="n">
        <f aca="false">E43/E46</f>
        <v>0.235566281035788</v>
      </c>
      <c r="F47" s="46" t="n">
        <f aca="false">F43/F46</f>
        <v>0.678406041031853</v>
      </c>
      <c r="G47" s="46" t="n">
        <f aca="false">G43/G46</f>
        <v>1.26580238542756</v>
      </c>
      <c r="H47" s="46" t="n">
        <f aca="false">H43/H46</f>
        <v>1.81287610832209</v>
      </c>
      <c r="I47" s="46" t="n">
        <f aca="false">I43/I46</f>
        <v>2.44995842885467</v>
      </c>
    </row>
    <row r="49" customFormat="false" ht="64.5" hidden="false" customHeight="true" outlineLevel="0" collapsed="false">
      <c r="A49" s="36" t="s">
        <v>187</v>
      </c>
      <c r="B49" s="36"/>
      <c r="C49" s="36"/>
      <c r="D49" s="36"/>
      <c r="E49" s="36"/>
      <c r="F49" s="36"/>
      <c r="G49" s="36"/>
      <c r="H49" s="36"/>
      <c r="I49" s="36"/>
    </row>
  </sheetData>
  <mergeCells count="8">
    <mergeCell ref="A1:I1"/>
    <mergeCell ref="A2:I2"/>
    <mergeCell ref="A5:I5"/>
    <mergeCell ref="A12:I12"/>
    <mergeCell ref="A22:I22"/>
    <mergeCell ref="A34:I34"/>
    <mergeCell ref="A45:I45"/>
    <mergeCell ref="A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9" min="2" style="0" width="12"/>
    <col collapsed="false" customWidth="true" hidden="false" outlineLevel="0" max="10" min="10" style="0" width="3"/>
    <col collapsed="false" customWidth="true" hidden="false" outlineLevel="0" max="11" min="11" style="0" width="34"/>
  </cols>
  <sheetData>
    <row r="1" customFormat="false" ht="24" hidden="false" customHeight="true" outlineLevel="0" collapsed="false">
      <c r="A1" s="16" t="s">
        <v>26</v>
      </c>
      <c r="B1" s="16"/>
      <c r="C1" s="16"/>
      <c r="D1" s="16"/>
      <c r="E1" s="16"/>
      <c r="F1" s="16"/>
      <c r="G1" s="16"/>
      <c r="H1" s="16"/>
      <c r="I1" s="16"/>
    </row>
    <row r="2" customFormat="false" ht="15.75" hidden="false" customHeight="true" outlineLevel="0" collapsed="false">
      <c r="A2" s="17" t="s">
        <v>188</v>
      </c>
      <c r="B2" s="17"/>
      <c r="C2" s="17"/>
      <c r="D2" s="17"/>
      <c r="E2" s="17"/>
      <c r="F2" s="17"/>
      <c r="G2" s="17"/>
      <c r="H2" s="17"/>
      <c r="I2" s="17"/>
    </row>
    <row r="4" customFormat="false" ht="15" hidden="false" customHeight="false" outlineLevel="0" collapsed="false">
      <c r="B4" s="19" t="s">
        <v>70</v>
      </c>
      <c r="C4" s="19" t="s">
        <v>71</v>
      </c>
      <c r="D4" s="19" t="s">
        <v>72</v>
      </c>
      <c r="E4" s="19" t="s">
        <v>93</v>
      </c>
      <c r="F4" s="19" t="s">
        <v>94</v>
      </c>
      <c r="G4" s="19" t="s">
        <v>95</v>
      </c>
      <c r="H4" s="19" t="s">
        <v>96</v>
      </c>
      <c r="I4" s="19" t="s">
        <v>97</v>
      </c>
    </row>
    <row r="5" customFormat="false" ht="15.75" hidden="false" customHeight="true" outlineLevel="0" collapsed="false">
      <c r="A5" s="6" t="s">
        <v>189</v>
      </c>
      <c r="B5" s="6"/>
      <c r="C5" s="6"/>
      <c r="D5" s="6"/>
      <c r="E5" s="6"/>
      <c r="F5" s="6"/>
      <c r="G5" s="6"/>
      <c r="H5" s="6"/>
      <c r="I5" s="6"/>
    </row>
    <row r="6" customFormat="false" ht="15" hidden="false" customHeight="false" outlineLevel="0" collapsed="false">
      <c r="A6" s="42" t="s">
        <v>190</v>
      </c>
      <c r="B6" s="27" t="n">
        <f aca="false">'Income Statement'!B6*0.123</f>
        <v>11373.195</v>
      </c>
      <c r="C6" s="27" t="n">
        <f aca="false">'Income Statement'!C6*0.1206</f>
        <v>12664.809</v>
      </c>
      <c r="D6" s="27" t="n">
        <f aca="false">'Income Statement'!D6*0.118</f>
        <v>15092.2</v>
      </c>
      <c r="E6" s="40" t="n">
        <f aca="false">'Income Statement'!E6*Assumptions!C46</f>
        <v>18238.54</v>
      </c>
      <c r="F6" s="40" t="n">
        <f aca="false">'Income Statement'!F6*Assumptions!D46</f>
        <v>21505.6176</v>
      </c>
      <c r="G6" s="40" t="n">
        <f aca="false">'Income Statement'!G6*Assumptions!E46</f>
        <v>24716.235024</v>
      </c>
      <c r="H6" s="40" t="n">
        <f aca="false">'Income Statement'!H6*Assumptions!F46</f>
        <v>27668.82309984</v>
      </c>
      <c r="I6" s="40" t="n">
        <f aca="false">'Income Statement'!I6*Assumptions!G46</f>
        <v>30420.4748649984</v>
      </c>
    </row>
    <row r="7" customFormat="false" ht="15" hidden="false" customHeight="false" outlineLevel="0" collapsed="false">
      <c r="A7" s="41" t="s">
        <v>191</v>
      </c>
      <c r="B7" s="21" t="n">
        <v>52</v>
      </c>
      <c r="C7" s="21" t="n">
        <v>62</v>
      </c>
      <c r="D7" s="21" t="n">
        <v>74</v>
      </c>
      <c r="E7" s="40" t="n">
        <f aca="false">'Income Statement'!E9*Assumptions!C43</f>
        <v>88.179376</v>
      </c>
      <c r="F7" s="40" t="n">
        <f aca="false">'Income Statement'!F9*Assumptions!D43</f>
        <v>103.0556808</v>
      </c>
      <c r="G7" s="40" t="n">
        <f aca="false">'Income Statement'!G9*Assumptions!E43</f>
        <v>117.0347128704</v>
      </c>
      <c r="H7" s="40" t="n">
        <f aca="false">'Income Statement'!H9*Assumptions!F43</f>
        <v>128.596566810816</v>
      </c>
      <c r="I7" s="40" t="n">
        <f aca="false">'Income Statement'!I9*Assumptions!G43</f>
        <v>137.83033845375</v>
      </c>
    </row>
    <row r="8" customFormat="false" ht="15" hidden="false" customHeight="false" outlineLevel="0" collapsed="false">
      <c r="A8" s="42" t="s">
        <v>192</v>
      </c>
      <c r="B8" s="21" t="n">
        <v>300</v>
      </c>
      <c r="C8" s="27" t="n">
        <f aca="false">B8+C7-ABS('Income Statement'!C35)</f>
        <v>280</v>
      </c>
      <c r="D8" s="27" t="n">
        <f aca="false">C8+D7-ABS('Income Statement'!D35)</f>
        <v>299</v>
      </c>
      <c r="E8" s="27" t="n">
        <f aca="false">D8+E7-ABS('Income Statement'!E35)</f>
        <v>307.8179376</v>
      </c>
      <c r="F8" s="27" t="n">
        <f aca="false">E8+F7-ABS('Income Statement'!F35)</f>
        <v>318.665904</v>
      </c>
      <c r="G8" s="27" t="n">
        <f aca="false">F8+G7-ABS('Income Statement'!G35)</f>
        <v>331.6697609856</v>
      </c>
      <c r="H8" s="27" t="n">
        <f aca="false">G8+H7-ABS('Income Statement'!H35)</f>
        <v>346.798768845696</v>
      </c>
      <c r="I8" s="27" t="n">
        <f aca="false">H8+I7-ABS('Income Statement'!I35)</f>
        <v>355.413164999055</v>
      </c>
    </row>
    <row r="9" customFormat="false" ht="15" hidden="false" customHeight="false" outlineLevel="0" collapsed="false">
      <c r="A9" s="42" t="s">
        <v>193</v>
      </c>
      <c r="B9" s="21" t="n">
        <v>113</v>
      </c>
      <c r="C9" s="27" t="n">
        <f aca="false">0.05*'Income Statement'!C9</f>
        <v>140.55</v>
      </c>
      <c r="D9" s="27" t="n">
        <f aca="false">0.05*'Income Statement'!D9</f>
        <v>175.45</v>
      </c>
      <c r="E9" s="27" t="n">
        <f aca="false">0.05*'Income Statement'!E9</f>
        <v>220.44844</v>
      </c>
      <c r="F9" s="27" t="n">
        <f aca="false">0.05*'Income Statement'!F9</f>
        <v>271.19916</v>
      </c>
      <c r="G9" s="27" t="n">
        <f aca="false">0.05*'Income Statement'!G9</f>
        <v>325.09642464</v>
      </c>
      <c r="H9" s="27" t="n">
        <f aca="false">0.05*'Income Statement'!H9</f>
        <v>378.2251965024</v>
      </c>
      <c r="I9" s="27" t="n">
        <f aca="false">0.05*'Income Statement'!I9</f>
        <v>430.719807667968</v>
      </c>
    </row>
    <row r="10" customFormat="false" ht="15" hidden="false" customHeight="false" outlineLevel="0" collapsed="false">
      <c r="A10" s="42" t="s">
        <v>194</v>
      </c>
      <c r="B10" s="21" t="n">
        <v>2000</v>
      </c>
      <c r="C10" s="40" t="n">
        <f aca="false">'Cash Flow Statement'!C27</f>
        <v>2243</v>
      </c>
      <c r="D10" s="40" t="n">
        <f aca="false">'Cash Flow Statement'!D27</f>
        <v>2371</v>
      </c>
      <c r="E10" s="40" t="n">
        <f aca="false">'Cash Flow Statement'!E27</f>
        <v>2650.1008451936</v>
      </c>
      <c r="F10" s="40" t="n">
        <f aca="false">'Cash Flow Statement'!F27</f>
        <v>3105.1937541088</v>
      </c>
      <c r="G10" s="40" t="n">
        <f aca="false">'Cash Flow Statement'!G27</f>
        <v>3788.85132966784</v>
      </c>
      <c r="H10" s="40" t="n">
        <f aca="false">'Cash Flow Statement'!H27</f>
        <v>4690.73723798638</v>
      </c>
      <c r="I10" s="40" t="n">
        <f aca="false">'Cash Flow Statement'!I27</f>
        <v>5857.86644977804</v>
      </c>
    </row>
    <row r="11" customFormat="false" ht="15" hidden="false" customHeight="false" outlineLevel="0" collapsed="false">
      <c r="A11" s="39" t="s">
        <v>195</v>
      </c>
      <c r="B11" s="44" t="n">
        <f aca="false">SUM(B6,B8,B9,B10)</f>
        <v>13786.195</v>
      </c>
      <c r="C11" s="44" t="n">
        <f aca="false">SUM(C6,C8,C9,C10)</f>
        <v>15328.359</v>
      </c>
      <c r="D11" s="44" t="n">
        <f aca="false">SUM(D6,D8,D9,D10)</f>
        <v>17937.65</v>
      </c>
      <c r="E11" s="44" t="n">
        <f aca="false">SUM(E6,E8,E9,E10)</f>
        <v>21416.9072227936</v>
      </c>
      <c r="F11" s="44" t="n">
        <f aca="false">SUM(F6,F8,F9,F10)</f>
        <v>25200.6764181088</v>
      </c>
      <c r="G11" s="44" t="n">
        <f aca="false">SUM(G6,G8,G9,G10)</f>
        <v>29161.8525392934</v>
      </c>
      <c r="H11" s="44" t="n">
        <f aca="false">SUM(H6,H8,H9,H10)</f>
        <v>33084.5843031745</v>
      </c>
      <c r="I11" s="44" t="n">
        <f aca="false">SUM(I6,I8,I9,I10)</f>
        <v>37064.4742874435</v>
      </c>
    </row>
    <row r="13" customFormat="false" ht="15.75" hidden="false" customHeight="true" outlineLevel="0" collapsed="false">
      <c r="A13" s="6" t="s">
        <v>196</v>
      </c>
      <c r="B13" s="6"/>
      <c r="C13" s="6"/>
      <c r="D13" s="6"/>
      <c r="E13" s="6"/>
      <c r="F13" s="6"/>
      <c r="G13" s="6"/>
      <c r="H13" s="6"/>
      <c r="I13" s="6"/>
    </row>
    <row r="14" customFormat="false" ht="15" hidden="false" customHeight="false" outlineLevel="0" collapsed="false">
      <c r="A14" s="42" t="s">
        <v>197</v>
      </c>
      <c r="B14" s="27" t="n">
        <f aca="false">B6*0.7</f>
        <v>7961.2365</v>
      </c>
      <c r="C14" s="27" t="n">
        <f aca="false">C6*0.75</f>
        <v>9498.60675</v>
      </c>
      <c r="D14" s="27" t="n">
        <f aca="false">D6*0.76</f>
        <v>11470.072</v>
      </c>
      <c r="E14" s="40" t="n">
        <f aca="false">E6*Assumptions!C47</f>
        <v>13131.7488</v>
      </c>
      <c r="F14" s="40" t="n">
        <f aca="false">F6*Assumptions!D47</f>
        <v>15914.157024</v>
      </c>
      <c r="G14" s="40" t="n">
        <f aca="false">G6*Assumptions!E47</f>
        <v>18784.33861824</v>
      </c>
      <c r="H14" s="40" t="n">
        <f aca="false">H6*Assumptions!F47</f>
        <v>21581.6820178752</v>
      </c>
      <c r="I14" s="40" t="n">
        <f aca="false">I6*Assumptions!G47</f>
        <v>24336.3798919987</v>
      </c>
    </row>
    <row r="15" customFormat="false" ht="15" hidden="false" customHeight="false" outlineLevel="0" collapsed="false">
      <c r="A15" s="42" t="s">
        <v>198</v>
      </c>
      <c r="B15" s="27" t="n">
        <f aca="false">B6-B14</f>
        <v>3411.9585</v>
      </c>
      <c r="C15" s="27" t="n">
        <f aca="false">C6-C14</f>
        <v>3166.20225</v>
      </c>
      <c r="D15" s="27" t="n">
        <f aca="false">D6-D14</f>
        <v>3622.128</v>
      </c>
      <c r="E15" s="27" t="n">
        <f aca="false">E6-E14</f>
        <v>5106.7912</v>
      </c>
      <c r="F15" s="27" t="n">
        <f aca="false">F6-F14</f>
        <v>5591.460576</v>
      </c>
      <c r="G15" s="27" t="n">
        <f aca="false">G6-G14</f>
        <v>5931.89640576</v>
      </c>
      <c r="H15" s="27" t="n">
        <f aca="false">H6-H14</f>
        <v>6087.1410819648</v>
      </c>
      <c r="I15" s="27" t="n">
        <f aca="false">I6-I14</f>
        <v>6084.09497299968</v>
      </c>
    </row>
    <row r="16" customFormat="false" ht="15" hidden="false" customHeight="false" outlineLevel="0" collapsed="false">
      <c r="A16" s="42" t="s">
        <v>199</v>
      </c>
      <c r="B16" s="21" t="n">
        <v>113</v>
      </c>
      <c r="C16" s="27" t="n">
        <f aca="false">0.05*'Income Statement'!C9</f>
        <v>140.55</v>
      </c>
      <c r="D16" s="27" t="n">
        <f aca="false">0.05*'Income Statement'!D9</f>
        <v>175.45</v>
      </c>
      <c r="E16" s="27" t="n">
        <f aca="false">0.05*'Income Statement'!E9</f>
        <v>220.44844</v>
      </c>
      <c r="F16" s="27" t="n">
        <f aca="false">0.05*'Income Statement'!F9</f>
        <v>271.19916</v>
      </c>
      <c r="G16" s="27" t="n">
        <f aca="false">0.05*'Income Statement'!G9</f>
        <v>325.09642464</v>
      </c>
      <c r="H16" s="27" t="n">
        <f aca="false">0.05*'Income Statement'!H9</f>
        <v>378.2251965024</v>
      </c>
      <c r="I16" s="27" t="n">
        <f aca="false">0.05*'Income Statement'!I9</f>
        <v>430.719807667968</v>
      </c>
    </row>
    <row r="17" customFormat="false" ht="15" hidden="false" customHeight="false" outlineLevel="0" collapsed="false">
      <c r="A17" s="39" t="s">
        <v>200</v>
      </c>
      <c r="B17" s="44" t="n">
        <f aca="false">SUM(B14:B16)</f>
        <v>11486.195</v>
      </c>
      <c r="C17" s="44" t="n">
        <f aca="false">SUM(C14:C16)</f>
        <v>12805.359</v>
      </c>
      <c r="D17" s="44" t="n">
        <f aca="false">SUM(D14:D16)</f>
        <v>15267.65</v>
      </c>
      <c r="E17" s="44" t="n">
        <f aca="false">SUM(E14:E16)</f>
        <v>18458.98844</v>
      </c>
      <c r="F17" s="44" t="n">
        <f aca="false">SUM(F14:F16)</f>
        <v>21776.81676</v>
      </c>
      <c r="G17" s="44" t="n">
        <f aca="false">SUM(G14:G16)</f>
        <v>25041.33144864</v>
      </c>
      <c r="H17" s="44" t="n">
        <f aca="false">SUM(H14:H16)</f>
        <v>28047.0482963424</v>
      </c>
      <c r="I17" s="44" t="n">
        <f aca="false">SUM(I14:I16)</f>
        <v>30851.1946726664</v>
      </c>
    </row>
    <row r="19" customFormat="false" ht="15.75" hidden="false" customHeight="true" outlineLevel="0" collapsed="false">
      <c r="A19" s="6" t="s">
        <v>201</v>
      </c>
      <c r="B19" s="6"/>
      <c r="C19" s="6"/>
      <c r="D19" s="6"/>
      <c r="E19" s="6"/>
      <c r="F19" s="6"/>
      <c r="G19" s="6"/>
      <c r="H19" s="6"/>
      <c r="I19" s="6"/>
    </row>
    <row r="20" customFormat="false" ht="15" hidden="false" customHeight="false" outlineLevel="0" collapsed="false">
      <c r="A20" s="42" t="s">
        <v>202</v>
      </c>
      <c r="B20" s="21" t="n">
        <v>4300</v>
      </c>
      <c r="C20" s="40" t="n">
        <f aca="false">B20+'Cash Flow Statement'!C8</f>
        <v>4520</v>
      </c>
      <c r="D20" s="40" t="n">
        <f aca="false">C20+Assumptions!C24+'Cash Flow Statement'!D8</f>
        <v>4960</v>
      </c>
      <c r="E20" s="40" t="n">
        <f aca="false">D20+'Cash Flow Statement'!E8</f>
        <v>5158.403596</v>
      </c>
      <c r="F20" s="40" t="n">
        <f aca="false">E20+'Cash Flow Statement'!F8</f>
        <v>5364.5149576</v>
      </c>
      <c r="G20" s="40" t="n">
        <f aca="false">F20+'Cash Flow Statement'!G8</f>
        <v>5572.5766693696</v>
      </c>
      <c r="H20" s="40" t="n">
        <f aca="false">G20+'Cash Flow Statement'!H8</f>
        <v>5784.38277941095</v>
      </c>
      <c r="I20" s="40" t="n">
        <f aca="false">H20+'Cash Flow Statement'!I8</f>
        <v>5999.74268324493</v>
      </c>
    </row>
    <row r="21" customFormat="false" ht="15" hidden="false" customHeight="false" outlineLevel="0" collapsed="false">
      <c r="A21" s="42" t="s">
        <v>203</v>
      </c>
      <c r="B21" s="21" t="n">
        <v>-2000</v>
      </c>
      <c r="C21" s="27" t="n">
        <f aca="false">B21+'Income Statement'!C43</f>
        <v>-1997</v>
      </c>
      <c r="D21" s="27" t="n">
        <f aca="false">C21+'Income Statement'!D43</f>
        <v>-2290</v>
      </c>
      <c r="E21" s="27" t="n">
        <f aca="false">D21+'Income Statement'!E43</f>
        <v>-2200.4848132064</v>
      </c>
      <c r="F21" s="27" t="n">
        <f aca="false">E21+'Income Statement'!F43</f>
        <v>-1940.6552994912</v>
      </c>
      <c r="G21" s="27" t="n">
        <f aca="false">F21+'Income Statement'!G43</f>
        <v>-1452.05557871616</v>
      </c>
      <c r="H21" s="27" t="n">
        <f aca="false">G21+'Income Statement'!H43</f>
        <v>-746.846772578866</v>
      </c>
      <c r="I21" s="27" t="n">
        <f aca="false">H21+'Income Statement'!I43</f>
        <v>213.536931532163</v>
      </c>
    </row>
    <row r="22" customFormat="false" ht="15" hidden="false" customHeight="false" outlineLevel="0" collapsed="false">
      <c r="A22" s="39" t="s">
        <v>204</v>
      </c>
      <c r="B22" s="44" t="n">
        <f aca="false">B20+B21</f>
        <v>2300</v>
      </c>
      <c r="C22" s="44" t="n">
        <f aca="false">C20+C21</f>
        <v>2523</v>
      </c>
      <c r="D22" s="44" t="n">
        <f aca="false">D20+D21</f>
        <v>2670</v>
      </c>
      <c r="E22" s="44" t="n">
        <f aca="false">E20+E21</f>
        <v>2957.9187827936</v>
      </c>
      <c r="F22" s="44" t="n">
        <f aca="false">F20+F21</f>
        <v>3423.8596581088</v>
      </c>
      <c r="G22" s="44" t="n">
        <f aca="false">G20+G21</f>
        <v>4120.52109065344</v>
      </c>
      <c r="H22" s="44" t="n">
        <f aca="false">H20+H21</f>
        <v>5037.53600683208</v>
      </c>
      <c r="I22" s="44" t="n">
        <f aca="false">I20+I21</f>
        <v>6213.27961477709</v>
      </c>
    </row>
    <row r="24" customFormat="false" ht="15" hidden="false" customHeight="false" outlineLevel="0" collapsed="false">
      <c r="A24" s="39" t="s">
        <v>205</v>
      </c>
      <c r="B24" s="44" t="n">
        <f aca="false">B17+B22</f>
        <v>13786.195</v>
      </c>
      <c r="C24" s="44" t="n">
        <f aca="false">C17+C22</f>
        <v>15328.359</v>
      </c>
      <c r="D24" s="44" t="n">
        <f aca="false">D17+D22</f>
        <v>17937.65</v>
      </c>
      <c r="E24" s="44" t="n">
        <f aca="false">E17+E22</f>
        <v>21416.9072227936</v>
      </c>
      <c r="F24" s="44" t="n">
        <f aca="false">F17+F22</f>
        <v>25200.6764181088</v>
      </c>
      <c r="G24" s="44" t="n">
        <f aca="false">G17+G22</f>
        <v>29161.8525392934</v>
      </c>
      <c r="H24" s="44" t="n">
        <f aca="false">H17+H22</f>
        <v>33084.5843031745</v>
      </c>
      <c r="I24" s="44" t="n">
        <f aca="false">I17+I22</f>
        <v>37064.4742874435</v>
      </c>
    </row>
    <row r="26" customFormat="false" ht="15" hidden="false" customHeight="false" outlineLevel="0" collapsed="false">
      <c r="A26" s="42" t="s">
        <v>206</v>
      </c>
      <c r="B26" s="47" t="n">
        <f aca="false">B11-B24</f>
        <v>0</v>
      </c>
      <c r="C26" s="47" t="n">
        <f aca="false">C11-C24</f>
        <v>0</v>
      </c>
      <c r="D26" s="47" t="n">
        <f aca="false">D11-D24</f>
        <v>0</v>
      </c>
      <c r="E26" s="47" t="n">
        <f aca="false">E11-E24</f>
        <v>0</v>
      </c>
      <c r="F26" s="47" t="n">
        <f aca="false">F11-F24</f>
        <v>0</v>
      </c>
      <c r="G26" s="47" t="n">
        <f aca="false">G11-G24</f>
        <v>0</v>
      </c>
      <c r="H26" s="47" t="n">
        <f aca="false">H11-H24</f>
        <v>0</v>
      </c>
      <c r="I26" s="47" t="n">
        <f aca="false">I11-I24</f>
        <v>0</v>
      </c>
    </row>
    <row r="28" customFormat="false" ht="15.75" hidden="false" customHeight="true" outlineLevel="0" collapsed="false">
      <c r="A28" s="6" t="s">
        <v>207</v>
      </c>
      <c r="B28" s="6"/>
      <c r="C28" s="6"/>
      <c r="D28" s="6"/>
      <c r="E28" s="6"/>
      <c r="F28" s="6"/>
      <c r="G28" s="6"/>
      <c r="H28" s="6"/>
      <c r="I28" s="6"/>
    </row>
    <row r="29" customFormat="false" ht="15" hidden="false" customHeight="false" outlineLevel="0" collapsed="false">
      <c r="A29" s="42" t="s">
        <v>208</v>
      </c>
      <c r="B29" s="22" t="n">
        <f aca="false">B6/'Income Statement'!B6</f>
        <v>0.123</v>
      </c>
      <c r="C29" s="22" t="n">
        <f aca="false">C6/'Income Statement'!C6</f>
        <v>0.1206</v>
      </c>
      <c r="D29" s="22" t="n">
        <f aca="false">D6/'Income Statement'!D6</f>
        <v>0.118</v>
      </c>
      <c r="E29" s="22" t="n">
        <f aca="false">E6/'Income Statement'!E6</f>
        <v>0.115</v>
      </c>
      <c r="F29" s="22" t="n">
        <f aca="false">F6/'Income Statement'!F6</f>
        <v>0.113</v>
      </c>
      <c r="G29" s="22" t="n">
        <f aca="false">G6/'Income Statement'!G6</f>
        <v>0.111</v>
      </c>
      <c r="H29" s="22" t="n">
        <f aca="false">H6/'Income Statement'!H6</f>
        <v>0.109</v>
      </c>
      <c r="I29" s="22" t="n">
        <f aca="false">I6/'Income Statement'!I6</f>
        <v>0.107</v>
      </c>
    </row>
    <row r="30" customFormat="false" ht="15" hidden="false" customHeight="false" outlineLevel="0" collapsed="false">
      <c r="A30" s="42" t="s">
        <v>209</v>
      </c>
      <c r="B30" s="22" t="n">
        <f aca="false">B14/B6</f>
        <v>0.7</v>
      </c>
      <c r="C30" s="22" t="n">
        <f aca="false">C14/C6</f>
        <v>0.75</v>
      </c>
      <c r="D30" s="22" t="n">
        <f aca="false">D14/D6</f>
        <v>0.76</v>
      </c>
      <c r="E30" s="22" t="n">
        <f aca="false">E14/E6</f>
        <v>0.72</v>
      </c>
      <c r="F30" s="22" t="n">
        <f aca="false">F14/F6</f>
        <v>0.74</v>
      </c>
      <c r="G30" s="22" t="n">
        <f aca="false">G14/G6</f>
        <v>0.76</v>
      </c>
      <c r="H30" s="22" t="n">
        <f aca="false">H14/H6</f>
        <v>0.78</v>
      </c>
      <c r="I30" s="22" t="n">
        <f aca="false">I14/I6</f>
        <v>0.8</v>
      </c>
    </row>
    <row r="31" customFormat="false" ht="15" hidden="false" customHeight="false" outlineLevel="0" collapsed="false">
      <c r="A31" s="42" t="s">
        <v>210</v>
      </c>
      <c r="B31" s="48" t="n">
        <f aca="false">B11/B22</f>
        <v>5.99399782608696</v>
      </c>
      <c r="C31" s="48" t="n">
        <f aca="false">C11/C22</f>
        <v>6.07544946492271</v>
      </c>
      <c r="D31" s="48" t="n">
        <f aca="false">D11/D22</f>
        <v>6.71822097378277</v>
      </c>
      <c r="E31" s="48" t="n">
        <f aca="false">E11/E22</f>
        <v>7.24053254855309</v>
      </c>
      <c r="F31" s="48" t="n">
        <f aca="false">F11/F22</f>
        <v>7.36031231841688</v>
      </c>
      <c r="G31" s="48" t="n">
        <f aca="false">G11/G22</f>
        <v>7.07722443295853</v>
      </c>
      <c r="H31" s="48" t="n">
        <f aca="false">H11/H22</f>
        <v>6.56761247131614</v>
      </c>
      <c r="I31" s="48" t="n">
        <f aca="false">I11/I22</f>
        <v>5.96536396000797</v>
      </c>
    </row>
    <row r="33" customFormat="false" ht="15.75" hidden="false" customHeight="true" outlineLevel="0" collapsed="false">
      <c r="A33" s="6" t="s">
        <v>211</v>
      </c>
      <c r="B33" s="6"/>
      <c r="C33" s="6"/>
      <c r="D33" s="6"/>
      <c r="E33" s="6"/>
      <c r="F33" s="6"/>
      <c r="G33" s="6"/>
      <c r="H33" s="6"/>
      <c r="I33" s="6"/>
    </row>
    <row r="34" customFormat="false" ht="15" hidden="false" customHeight="false" outlineLevel="0" collapsed="false">
      <c r="A34" s="42" t="s">
        <v>212</v>
      </c>
      <c r="B34" s="27" t="n">
        <f aca="false">B22</f>
        <v>2300</v>
      </c>
      <c r="C34" s="27" t="n">
        <f aca="false">C22</f>
        <v>2523</v>
      </c>
      <c r="D34" s="27" t="n">
        <f aca="false">D22</f>
        <v>2670</v>
      </c>
      <c r="E34" s="27" t="n">
        <f aca="false">E22</f>
        <v>2957.9187827936</v>
      </c>
      <c r="F34" s="27" t="n">
        <f aca="false">F22</f>
        <v>3423.8596581088</v>
      </c>
      <c r="G34" s="27" t="n">
        <f aca="false">G22</f>
        <v>4120.52109065344</v>
      </c>
      <c r="H34" s="27" t="n">
        <f aca="false">H22</f>
        <v>5037.53600683208</v>
      </c>
      <c r="I34" s="27" t="n">
        <f aca="false">I22</f>
        <v>6213.27961477709</v>
      </c>
    </row>
    <row r="35" customFormat="false" ht="15" hidden="false" customHeight="false" outlineLevel="0" collapsed="false">
      <c r="A35" s="42" t="s">
        <v>213</v>
      </c>
      <c r="B35" s="27" t="n">
        <f aca="false">B6</f>
        <v>11373.195</v>
      </c>
      <c r="C35" s="27" t="n">
        <f aca="false">C6</f>
        <v>12664.809</v>
      </c>
      <c r="D35" s="27" t="n">
        <f aca="false">D6</f>
        <v>15092.2</v>
      </c>
      <c r="E35" s="27" t="n">
        <f aca="false">E6</f>
        <v>18238.54</v>
      </c>
      <c r="F35" s="27" t="n">
        <f aca="false">F6</f>
        <v>21505.6176</v>
      </c>
      <c r="G35" s="27" t="n">
        <f aca="false">G6</f>
        <v>24716.235024</v>
      </c>
      <c r="H35" s="27" t="n">
        <f aca="false">H6</f>
        <v>27668.82309984</v>
      </c>
      <c r="I35" s="27" t="n">
        <f aca="false">I6</f>
        <v>30420.4748649984</v>
      </c>
    </row>
    <row r="36" customFormat="false" ht="15" hidden="false" customHeight="false" outlineLevel="0" collapsed="false">
      <c r="A36" s="42" t="s">
        <v>214</v>
      </c>
      <c r="B36" s="49" t="n">
        <f aca="false">B34/B35</f>
        <v>0.20222989230379</v>
      </c>
      <c r="C36" s="49" t="n">
        <f aca="false">C34/C35</f>
        <v>0.199213426748086</v>
      </c>
      <c r="D36" s="49" t="n">
        <f aca="false">D34/D35</f>
        <v>0.176912577357841</v>
      </c>
      <c r="E36" s="49" t="n">
        <f aca="false">E34/E35</f>
        <v>0.162179581413512</v>
      </c>
      <c r="F36" s="49" t="n">
        <f aca="false">F34/F35</f>
        <v>0.159207688046532</v>
      </c>
      <c r="G36" s="49" t="n">
        <f aca="false">G34/G35</f>
        <v>0.166713137605801</v>
      </c>
      <c r="H36" s="49" t="n">
        <f aca="false">H34/H35</f>
        <v>0.182065423912491</v>
      </c>
      <c r="I36" s="49" t="n">
        <f aca="false">I34/I35</f>
        <v>0.204246634621935</v>
      </c>
    </row>
    <row r="37" customFormat="false" ht="15" hidden="false" customHeight="false" outlineLevel="0" collapsed="false">
      <c r="A37" s="42" t="s">
        <v>215</v>
      </c>
      <c r="E37" s="50" t="n">
        <f aca="false">Assumptions!C48</f>
        <v>0.02</v>
      </c>
      <c r="F37" s="50" t="n">
        <f aca="false">Assumptions!D48</f>
        <v>0.02</v>
      </c>
      <c r="G37" s="50" t="n">
        <f aca="false">Assumptions!E48</f>
        <v>0.025</v>
      </c>
      <c r="H37" s="50" t="n">
        <f aca="false">Assumptions!F48</f>
        <v>0.025</v>
      </c>
      <c r="I37" s="50" t="n">
        <f aca="false">Assumptions!G48</f>
        <v>0.03</v>
      </c>
    </row>
    <row r="38" customFormat="false" ht="15" hidden="false" customHeight="false" outlineLevel="0" collapsed="false">
      <c r="A38" s="42" t="s">
        <v>216</v>
      </c>
      <c r="E38" s="22" t="n">
        <f aca="false">E36-E37</f>
        <v>0.142179581413512</v>
      </c>
      <c r="F38" s="22" t="n">
        <f aca="false">F36-F37</f>
        <v>0.139207688046532</v>
      </c>
      <c r="G38" s="22" t="n">
        <f aca="false">G36-G37</f>
        <v>0.141713137605801</v>
      </c>
      <c r="H38" s="22" t="n">
        <f aca="false">H36-H37</f>
        <v>0.157065423912491</v>
      </c>
      <c r="I38" s="22" t="n">
        <f aca="false">I36-I37</f>
        <v>0.174246634621935</v>
      </c>
    </row>
    <row r="40" customFormat="false" ht="54.75" hidden="false" customHeight="true" outlineLevel="0" collapsed="false">
      <c r="A40" s="36" t="s">
        <v>217</v>
      </c>
      <c r="B40" s="36"/>
      <c r="C40" s="36"/>
      <c r="D40" s="36"/>
      <c r="E40" s="36"/>
      <c r="F40" s="36"/>
      <c r="G40" s="36"/>
      <c r="H40" s="36"/>
      <c r="I40" s="36"/>
    </row>
    <row r="41" customFormat="false" ht="15.75" hidden="false" customHeight="true" outlineLevel="0" collapsed="false">
      <c r="A41" s="6" t="s">
        <v>218</v>
      </c>
      <c r="B41" s="6"/>
      <c r="C41" s="6"/>
      <c r="D41" s="6"/>
      <c r="E41" s="6"/>
      <c r="F41" s="6"/>
      <c r="G41" s="6"/>
      <c r="H41" s="6"/>
      <c r="I41" s="6"/>
    </row>
    <row r="42" customFormat="false" ht="15" hidden="false" customHeight="false" outlineLevel="0" collapsed="false">
      <c r="A42" s="20" t="s">
        <v>219</v>
      </c>
      <c r="D42" s="21" t="n">
        <v>5504</v>
      </c>
    </row>
    <row r="43" customFormat="false" ht="15" hidden="false" customHeight="false" outlineLevel="0" collapsed="false">
      <c r="A43" s="20" t="s">
        <v>220</v>
      </c>
      <c r="D43" s="21" t="n">
        <v>9950</v>
      </c>
    </row>
    <row r="44" customFormat="false" ht="15" hidden="false" customHeight="false" outlineLevel="0" collapsed="false">
      <c r="A44" s="20" t="s">
        <v>197</v>
      </c>
      <c r="D44" s="21" t="n">
        <v>13970</v>
      </c>
    </row>
    <row r="46" customFormat="false" ht="15" hidden="false" customHeight="false" outlineLevel="0" collapsed="false">
      <c r="A46" s="20" t="s">
        <v>221</v>
      </c>
      <c r="D46" s="27" t="n">
        <f aca="false">D6</f>
        <v>15092.2</v>
      </c>
    </row>
    <row r="47" customFormat="false" ht="15" hidden="false" customHeight="false" outlineLevel="0" collapsed="false">
      <c r="A47" s="20" t="s">
        <v>222</v>
      </c>
      <c r="D47" s="27" t="n">
        <f aca="false">D14</f>
        <v>11470.072</v>
      </c>
    </row>
    <row r="48" customFormat="false" ht="54.75" hidden="false" customHeight="true" outlineLevel="0" collapsed="false">
      <c r="A48" s="36" t="s">
        <v>223</v>
      </c>
      <c r="B48" s="36"/>
      <c r="C48" s="36"/>
      <c r="D48" s="36"/>
      <c r="E48" s="36"/>
      <c r="F48" s="36"/>
      <c r="G48" s="36"/>
      <c r="H48" s="36"/>
      <c r="I48" s="36"/>
    </row>
    <row r="49" customFormat="false" ht="39.75" hidden="false" customHeight="true" outlineLevel="0" collapsed="false">
      <c r="A49" s="36" t="s">
        <v>224</v>
      </c>
      <c r="B49" s="36"/>
      <c r="C49" s="36"/>
      <c r="D49" s="36"/>
      <c r="E49" s="36"/>
      <c r="F49" s="36"/>
      <c r="G49" s="36"/>
      <c r="H49" s="36"/>
      <c r="I49" s="36"/>
    </row>
  </sheetData>
  <mergeCells count="11">
    <mergeCell ref="A1:I1"/>
    <mergeCell ref="A2:I2"/>
    <mergeCell ref="A5:I5"/>
    <mergeCell ref="A13:I13"/>
    <mergeCell ref="A19:I19"/>
    <mergeCell ref="A28:I28"/>
    <mergeCell ref="A33:I33"/>
    <mergeCell ref="A40:I40"/>
    <mergeCell ref="A41:I41"/>
    <mergeCell ref="A48:I48"/>
    <mergeCell ref="A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9" min="2" style="0" width="12"/>
    <col collapsed="false" customWidth="true" hidden="false" outlineLevel="0" max="10" min="10" style="0" width="3"/>
    <col collapsed="false" customWidth="true" hidden="false" outlineLevel="0" max="11" min="11" style="0" width="34"/>
  </cols>
  <sheetData>
    <row r="1" customFormat="false" ht="24" hidden="false" customHeight="true" outlineLevel="0" collapsed="false">
      <c r="A1" s="16" t="s">
        <v>29</v>
      </c>
      <c r="B1" s="16"/>
      <c r="C1" s="16"/>
      <c r="D1" s="16"/>
      <c r="E1" s="16"/>
      <c r="F1" s="16"/>
      <c r="G1" s="16"/>
      <c r="H1" s="16"/>
      <c r="I1" s="16"/>
    </row>
    <row r="2" customFormat="false" ht="15.75" hidden="false" customHeight="true" outlineLevel="0" collapsed="false">
      <c r="A2" s="17" t="s">
        <v>225</v>
      </c>
      <c r="B2" s="17"/>
      <c r="C2" s="17"/>
      <c r="D2" s="17"/>
      <c r="E2" s="17"/>
      <c r="F2" s="17"/>
      <c r="G2" s="17"/>
      <c r="H2" s="17"/>
      <c r="I2" s="17"/>
    </row>
    <row r="4" customFormat="false" ht="15" hidden="false" customHeight="false" outlineLevel="0" collapsed="false">
      <c r="B4" s="19" t="s">
        <v>70</v>
      </c>
      <c r="C4" s="19" t="s">
        <v>71</v>
      </c>
      <c r="D4" s="19" t="s">
        <v>72</v>
      </c>
      <c r="E4" s="19" t="s">
        <v>93</v>
      </c>
      <c r="F4" s="19" t="s">
        <v>94</v>
      </c>
      <c r="G4" s="19" t="s">
        <v>95</v>
      </c>
      <c r="H4" s="19" t="s">
        <v>96</v>
      </c>
      <c r="I4" s="19" t="s">
        <v>97</v>
      </c>
    </row>
    <row r="5" customFormat="false" ht="15.75" hidden="false" customHeight="true" outlineLevel="0" collapsed="false">
      <c r="A5" s="6" t="s">
        <v>226</v>
      </c>
      <c r="B5" s="6"/>
      <c r="C5" s="6"/>
      <c r="D5" s="6"/>
      <c r="E5" s="6"/>
      <c r="F5" s="6"/>
      <c r="G5" s="6"/>
      <c r="H5" s="6"/>
      <c r="I5" s="6"/>
    </row>
    <row r="6" customFormat="false" ht="15" hidden="false" customHeight="false" outlineLevel="0" collapsed="false">
      <c r="A6" s="42" t="s">
        <v>80</v>
      </c>
      <c r="C6" s="40" t="n">
        <f aca="false">'Income Statement'!C43</f>
        <v>3</v>
      </c>
      <c r="D6" s="40" t="n">
        <f aca="false">'Income Statement'!D43</f>
        <v>-293</v>
      </c>
      <c r="E6" s="40" t="n">
        <f aca="false">'Income Statement'!E43</f>
        <v>89.5151867935996</v>
      </c>
      <c r="F6" s="40" t="n">
        <f aca="false">'Income Statement'!F43</f>
        <v>259.8295137152</v>
      </c>
      <c r="G6" s="40" t="n">
        <f aca="false">'Income Statement'!G43</f>
        <v>488.59972077504</v>
      </c>
      <c r="H6" s="40" t="n">
        <f aca="false">'Income Statement'!H43</f>
        <v>705.208806137295</v>
      </c>
      <c r="I6" s="40" t="n">
        <f aca="false">'Income Statement'!I43</f>
        <v>960.38370411103</v>
      </c>
    </row>
    <row r="7" customFormat="false" ht="15" hidden="false" customHeight="false" outlineLevel="0" collapsed="false">
      <c r="A7" s="42" t="s">
        <v>227</v>
      </c>
      <c r="C7" s="40" t="n">
        <f aca="false">ABS('Income Statement'!C35)</f>
        <v>82</v>
      </c>
      <c r="D7" s="40" t="n">
        <f aca="false">ABS('Income Statement'!D35)</f>
        <v>55</v>
      </c>
      <c r="E7" s="40" t="n">
        <f aca="false">ABS('Income Statement'!E35)</f>
        <v>79.3614384</v>
      </c>
      <c r="F7" s="40" t="n">
        <f aca="false">ABS('Income Statement'!F35)</f>
        <v>92.2077144</v>
      </c>
      <c r="G7" s="40" t="n">
        <f aca="false">ABS('Income Statement'!G35)</f>
        <v>104.0308558848</v>
      </c>
      <c r="H7" s="40" t="n">
        <f aca="false">ABS('Income Statement'!H35)</f>
        <v>113.46755895072</v>
      </c>
      <c r="I7" s="40" t="n">
        <f aca="false">ABS('Income Statement'!I35)</f>
        <v>129.21594230039</v>
      </c>
    </row>
    <row r="8" customFormat="false" ht="15" hidden="false" customHeight="false" outlineLevel="0" collapsed="false">
      <c r="A8" s="42" t="s">
        <v>228</v>
      </c>
      <c r="C8" s="21" t="n">
        <v>220</v>
      </c>
      <c r="D8" s="21" t="n">
        <v>240</v>
      </c>
      <c r="E8" s="40" t="n">
        <f aca="false">'Income Statement'!E9*Assumptions!C39</f>
        <v>198.403596</v>
      </c>
      <c r="F8" s="40" t="n">
        <f aca="false">'Income Statement'!F9*Assumptions!D39</f>
        <v>206.1113616</v>
      </c>
      <c r="G8" s="40" t="n">
        <f aca="false">'Income Statement'!G9*Assumptions!E39</f>
        <v>208.0617117696</v>
      </c>
      <c r="H8" s="40" t="n">
        <f aca="false">'Income Statement'!H9*Assumptions!F39</f>
        <v>211.806110041344</v>
      </c>
      <c r="I8" s="40" t="n">
        <f aca="false">'Income Statement'!I9*Assumptions!G39</f>
        <v>215.359903833984</v>
      </c>
    </row>
    <row r="9" customFormat="false" ht="15" hidden="false" customHeight="false" outlineLevel="0" collapsed="false">
      <c r="A9" s="42" t="s">
        <v>229</v>
      </c>
      <c r="C9" s="40" t="n">
        <f aca="false">-('Balance Sheet'!C9-'Balance Sheet'!B9)</f>
        <v>-27.55</v>
      </c>
      <c r="D9" s="40" t="n">
        <f aca="false">-('Balance Sheet'!D9-'Balance Sheet'!C9)</f>
        <v>-34.9</v>
      </c>
      <c r="E9" s="40" t="n">
        <f aca="false">-('Balance Sheet'!E9-'Balance Sheet'!D9)</f>
        <v>-44.99844</v>
      </c>
      <c r="F9" s="40" t="n">
        <f aca="false">-('Balance Sheet'!F9-'Balance Sheet'!E9)</f>
        <v>-50.75072</v>
      </c>
      <c r="G9" s="40" t="n">
        <f aca="false">-('Balance Sheet'!G9-'Balance Sheet'!F9)</f>
        <v>-53.8972646399999</v>
      </c>
      <c r="H9" s="40" t="n">
        <f aca="false">-('Balance Sheet'!H9-'Balance Sheet'!G9)</f>
        <v>-53.1287718624</v>
      </c>
      <c r="I9" s="40" t="n">
        <f aca="false">-('Balance Sheet'!I9-'Balance Sheet'!H9)</f>
        <v>-52.4946111655681</v>
      </c>
    </row>
    <row r="10" customFormat="false" ht="15" hidden="false" customHeight="false" outlineLevel="0" collapsed="false">
      <c r="A10" s="42" t="s">
        <v>230</v>
      </c>
      <c r="C10" s="40" t="n">
        <f aca="false">('Balance Sheet'!C16-'Balance Sheet'!B16)</f>
        <v>27.55</v>
      </c>
      <c r="D10" s="40" t="n">
        <f aca="false">('Balance Sheet'!D16-'Balance Sheet'!C16)</f>
        <v>34.9</v>
      </c>
      <c r="E10" s="40" t="n">
        <f aca="false">('Balance Sheet'!E16-'Balance Sheet'!D16)</f>
        <v>44.99844</v>
      </c>
      <c r="F10" s="40" t="n">
        <f aca="false">('Balance Sheet'!F16-'Balance Sheet'!E16)</f>
        <v>50.75072</v>
      </c>
      <c r="G10" s="40" t="n">
        <f aca="false">('Balance Sheet'!G16-'Balance Sheet'!F16)</f>
        <v>53.8972646399999</v>
      </c>
      <c r="H10" s="40" t="n">
        <f aca="false">('Balance Sheet'!H16-'Balance Sheet'!G16)</f>
        <v>53.1287718624</v>
      </c>
      <c r="I10" s="40" t="n">
        <f aca="false">('Balance Sheet'!I16-'Balance Sheet'!H16)</f>
        <v>52.4946111655681</v>
      </c>
    </row>
    <row r="11" customFormat="false" ht="15" hidden="false" customHeight="false" outlineLevel="0" collapsed="false">
      <c r="A11" s="39" t="s">
        <v>231</v>
      </c>
      <c r="C11" s="44" t="n">
        <f aca="false">SUM(C6:C10)</f>
        <v>305</v>
      </c>
      <c r="D11" s="44" t="n">
        <f aca="false">SUM(D6:D10)</f>
        <v>2</v>
      </c>
      <c r="E11" s="44" t="n">
        <f aca="false">SUM(E6:E10)</f>
        <v>367.2802211936</v>
      </c>
      <c r="F11" s="44" t="n">
        <f aca="false">SUM(F6:F10)</f>
        <v>558.1485897152</v>
      </c>
      <c r="G11" s="44" t="n">
        <f aca="false">SUM(G6:G10)</f>
        <v>800.69228842944</v>
      </c>
      <c r="H11" s="44" t="n">
        <f aca="false">SUM(H6:H10)</f>
        <v>1030.48247512936</v>
      </c>
      <c r="I11" s="44" t="n">
        <f aca="false">SUM(I6:I10)</f>
        <v>1304.9595502454</v>
      </c>
    </row>
    <row r="13" customFormat="false" ht="54.75" hidden="false" customHeight="true" outlineLevel="0" collapsed="false">
      <c r="A13" s="36" t="s">
        <v>232</v>
      </c>
      <c r="B13" s="36"/>
      <c r="C13" s="36"/>
      <c r="D13" s="36"/>
      <c r="E13" s="36"/>
      <c r="F13" s="36"/>
      <c r="G13" s="36"/>
      <c r="H13" s="36"/>
      <c r="I13" s="36"/>
    </row>
    <row r="14" customFormat="false" ht="15.75" hidden="false" customHeight="true" outlineLevel="0" collapsed="false">
      <c r="A14" s="6" t="s">
        <v>233</v>
      </c>
      <c r="B14" s="6"/>
      <c r="C14" s="6"/>
      <c r="D14" s="6"/>
      <c r="E14" s="6"/>
      <c r="F14" s="6"/>
      <c r="G14" s="6"/>
      <c r="H14" s="6"/>
      <c r="I14" s="6"/>
    </row>
    <row r="15" customFormat="false" ht="15" hidden="false" customHeight="false" outlineLevel="0" collapsed="false">
      <c r="A15" s="42" t="s">
        <v>234</v>
      </c>
      <c r="C15" s="40" t="n">
        <f aca="false">-'Balance Sheet'!C7</f>
        <v>-62</v>
      </c>
      <c r="D15" s="40" t="n">
        <f aca="false">-'Balance Sheet'!D7</f>
        <v>-74</v>
      </c>
      <c r="E15" s="40" t="n">
        <f aca="false">-'Balance Sheet'!E7</f>
        <v>-88.179376</v>
      </c>
      <c r="F15" s="40" t="n">
        <f aca="false">-'Balance Sheet'!F7</f>
        <v>-103.0556808</v>
      </c>
      <c r="G15" s="40" t="n">
        <f aca="false">-'Balance Sheet'!G7</f>
        <v>-117.0347128704</v>
      </c>
      <c r="H15" s="40" t="n">
        <f aca="false">-'Balance Sheet'!H7</f>
        <v>-128.596566810816</v>
      </c>
      <c r="I15" s="40" t="n">
        <f aca="false">-'Balance Sheet'!I7</f>
        <v>-137.83033845375</v>
      </c>
    </row>
    <row r="16" customFormat="false" ht="15" hidden="false" customHeight="false" outlineLevel="0" collapsed="false">
      <c r="A16" s="42" t="s">
        <v>235</v>
      </c>
      <c r="C16" s="40" t="n">
        <f aca="false">-('Balance Sheet'!C6-'Balance Sheet'!B6)</f>
        <v>-1291.614</v>
      </c>
      <c r="D16" s="40" t="n">
        <f aca="false">-('Balance Sheet'!D6-'Balance Sheet'!C6)</f>
        <v>-2427.391</v>
      </c>
      <c r="E16" s="40" t="n">
        <f aca="false">-('Balance Sheet'!E6-'Balance Sheet'!D6)</f>
        <v>-3146.34</v>
      </c>
      <c r="F16" s="40" t="n">
        <f aca="false">-('Balance Sheet'!F6-'Balance Sheet'!E6)</f>
        <v>-3267.0776</v>
      </c>
      <c r="G16" s="40" t="n">
        <f aca="false">-('Balance Sheet'!G6-'Balance Sheet'!F6)</f>
        <v>-3210.617424</v>
      </c>
      <c r="H16" s="40" t="n">
        <f aca="false">-('Balance Sheet'!H6-'Balance Sheet'!G6)</f>
        <v>-2952.58807584</v>
      </c>
      <c r="I16" s="40" t="n">
        <f aca="false">-('Balance Sheet'!I6-'Balance Sheet'!H6)</f>
        <v>-2751.6517651584</v>
      </c>
    </row>
    <row r="17" customFormat="false" ht="15" hidden="false" customHeight="false" outlineLevel="0" collapsed="false">
      <c r="A17" s="39" t="s">
        <v>236</v>
      </c>
      <c r="C17" s="44" t="n">
        <f aca="false">SUM(C14:C16)</f>
        <v>-1353.614</v>
      </c>
      <c r="D17" s="44" t="n">
        <f aca="false">SUM(D14:D16)</f>
        <v>-2501.391</v>
      </c>
      <c r="E17" s="44" t="n">
        <f aca="false">SUM(E14:E16)</f>
        <v>-3234.519376</v>
      </c>
      <c r="F17" s="44" t="n">
        <f aca="false">SUM(F14:F16)</f>
        <v>-3370.1332808</v>
      </c>
      <c r="G17" s="44" t="n">
        <f aca="false">SUM(G14:G16)</f>
        <v>-3327.6521368704</v>
      </c>
      <c r="H17" s="44" t="n">
        <f aca="false">SUM(H14:H16)</f>
        <v>-3081.18464265082</v>
      </c>
      <c r="I17" s="44" t="n">
        <f aca="false">SUM(I14:I16)</f>
        <v>-2889.48210361215</v>
      </c>
    </row>
    <row r="19" customFormat="false" ht="15.75" hidden="false" customHeight="true" outlineLevel="0" collapsed="false">
      <c r="A19" s="6" t="s">
        <v>237</v>
      </c>
      <c r="B19" s="6"/>
      <c r="C19" s="6"/>
      <c r="D19" s="6"/>
      <c r="E19" s="6"/>
      <c r="F19" s="6"/>
      <c r="G19" s="6"/>
      <c r="H19" s="6"/>
      <c r="I19" s="6"/>
    </row>
    <row r="20" customFormat="false" ht="15" hidden="false" customHeight="false" outlineLevel="0" collapsed="false">
      <c r="A20" s="42" t="s">
        <v>238</v>
      </c>
      <c r="C20" s="40" t="n">
        <f aca="false">('Balance Sheet'!C14-'Balance Sheet'!B14)</f>
        <v>1537.37025</v>
      </c>
      <c r="D20" s="40" t="n">
        <f aca="false">('Balance Sheet'!D14-'Balance Sheet'!C14)</f>
        <v>1971.46525</v>
      </c>
      <c r="E20" s="40" t="n">
        <f aca="false">('Balance Sheet'!E14-'Balance Sheet'!D14)</f>
        <v>1661.6768</v>
      </c>
      <c r="F20" s="40" t="n">
        <f aca="false">('Balance Sheet'!F14-'Balance Sheet'!E14)</f>
        <v>2782.408224</v>
      </c>
      <c r="G20" s="40" t="n">
        <f aca="false">('Balance Sheet'!G14-'Balance Sheet'!F14)</f>
        <v>2870.18159424</v>
      </c>
      <c r="H20" s="40" t="n">
        <f aca="false">('Balance Sheet'!H14-'Balance Sheet'!G14)</f>
        <v>2797.3433996352</v>
      </c>
      <c r="I20" s="40" t="n">
        <f aca="false">('Balance Sheet'!I14-'Balance Sheet'!H14)</f>
        <v>2754.69787412352</v>
      </c>
    </row>
    <row r="21" customFormat="false" ht="15" hidden="false" customHeight="false" outlineLevel="0" collapsed="false">
      <c r="A21" s="42" t="s">
        <v>239</v>
      </c>
      <c r="C21" s="40" t="n">
        <f aca="false">('Balance Sheet'!C15-'Balance Sheet'!B15)</f>
        <v>-245.75625</v>
      </c>
      <c r="D21" s="40" t="n">
        <f aca="false">('Balance Sheet'!D15-'Balance Sheet'!C15)</f>
        <v>455.925749999999</v>
      </c>
      <c r="E21" s="40" t="n">
        <f aca="false">('Balance Sheet'!E15-'Balance Sheet'!D15)</f>
        <v>1484.6632</v>
      </c>
      <c r="F21" s="40" t="n">
        <f aca="false">('Balance Sheet'!F15-'Balance Sheet'!E15)</f>
        <v>484.669375999998</v>
      </c>
      <c r="G21" s="40" t="n">
        <f aca="false">('Balance Sheet'!G15-'Balance Sheet'!F15)</f>
        <v>340.435829759999</v>
      </c>
      <c r="H21" s="40" t="n">
        <f aca="false">('Balance Sheet'!H15-'Balance Sheet'!G15)</f>
        <v>155.244676204798</v>
      </c>
      <c r="I21" s="40" t="n">
        <f aca="false">('Balance Sheet'!I15-'Balance Sheet'!H15)</f>
        <v>-3.04610896511804</v>
      </c>
    </row>
    <row r="22" customFormat="false" ht="15" hidden="false" customHeight="false" outlineLevel="0" collapsed="false">
      <c r="A22" s="42" t="s">
        <v>240</v>
      </c>
      <c r="C22" s="21" t="n">
        <v>0</v>
      </c>
      <c r="D22" s="40" t="n">
        <f aca="false">Assumptions!C24</f>
        <v>200</v>
      </c>
      <c r="E22" s="21" t="n">
        <v>0</v>
      </c>
      <c r="F22" s="21" t="n">
        <v>0</v>
      </c>
      <c r="G22" s="21" t="n">
        <v>0</v>
      </c>
      <c r="H22" s="21" t="n">
        <v>0</v>
      </c>
      <c r="I22" s="21" t="n">
        <v>0</v>
      </c>
    </row>
    <row r="23" customFormat="false" ht="15" hidden="false" customHeight="false" outlineLevel="0" collapsed="false">
      <c r="A23" s="39" t="s">
        <v>241</v>
      </c>
      <c r="C23" s="44" t="n">
        <f aca="false">SUM(C19:C22)</f>
        <v>1291.614</v>
      </c>
      <c r="D23" s="44" t="n">
        <f aca="false">SUM(D19:D22)</f>
        <v>2627.391</v>
      </c>
      <c r="E23" s="44" t="n">
        <f aca="false">SUM(E19:E22)</f>
        <v>3146.34</v>
      </c>
      <c r="F23" s="44" t="n">
        <f aca="false">SUM(F19:F22)</f>
        <v>3267.0776</v>
      </c>
      <c r="G23" s="44" t="n">
        <f aca="false">SUM(G19:G22)</f>
        <v>3210.617424</v>
      </c>
      <c r="H23" s="44" t="n">
        <f aca="false">SUM(H19:H22)</f>
        <v>2952.58807584</v>
      </c>
      <c r="I23" s="44" t="n">
        <f aca="false">SUM(I19:I22)</f>
        <v>2751.6517651584</v>
      </c>
    </row>
    <row r="25" customFormat="false" ht="15" hidden="false" customHeight="false" outlineLevel="0" collapsed="false">
      <c r="A25" s="39" t="s">
        <v>242</v>
      </c>
      <c r="C25" s="27" t="n">
        <f aca="false">C11+C17+C23</f>
        <v>243</v>
      </c>
      <c r="D25" s="27" t="n">
        <f aca="false">D11+D17+D23</f>
        <v>128</v>
      </c>
      <c r="E25" s="27" t="n">
        <f aca="false">E11+E17+E23</f>
        <v>279.1008451936</v>
      </c>
      <c r="F25" s="27" t="n">
        <f aca="false">F11+F17+F23</f>
        <v>455.0929089152</v>
      </c>
      <c r="G25" s="27" t="n">
        <f aca="false">G11+G17+G23</f>
        <v>683.65757555904</v>
      </c>
      <c r="H25" s="27" t="n">
        <f aca="false">H11+H17+H23</f>
        <v>901.885908318543</v>
      </c>
      <c r="I25" s="27" t="n">
        <f aca="false">I11+I17+I23</f>
        <v>1167.12921179165</v>
      </c>
    </row>
    <row r="26" customFormat="false" ht="15" hidden="false" customHeight="false" outlineLevel="0" collapsed="false">
      <c r="A26" s="42" t="s">
        <v>243</v>
      </c>
      <c r="C26" s="40" t="n">
        <f aca="false">'Balance Sheet'!B10</f>
        <v>2000</v>
      </c>
      <c r="D26" s="40" t="n">
        <f aca="false">'Balance Sheet'!C10</f>
        <v>2243</v>
      </c>
      <c r="E26" s="40" t="n">
        <f aca="false">'Balance Sheet'!D10</f>
        <v>2371</v>
      </c>
      <c r="F26" s="40" t="n">
        <f aca="false">'Balance Sheet'!E10</f>
        <v>2650.1008451936</v>
      </c>
      <c r="G26" s="40" t="n">
        <f aca="false">'Balance Sheet'!F10</f>
        <v>3105.1937541088</v>
      </c>
      <c r="H26" s="40" t="n">
        <f aca="false">'Balance Sheet'!G10</f>
        <v>3788.85132966784</v>
      </c>
      <c r="I26" s="40" t="n">
        <f aca="false">'Balance Sheet'!H10</f>
        <v>4690.73723798638</v>
      </c>
    </row>
    <row r="27" customFormat="false" ht="15" hidden="false" customHeight="false" outlineLevel="0" collapsed="false">
      <c r="A27" s="39" t="s">
        <v>244</v>
      </c>
      <c r="C27" s="44" t="n">
        <f aca="false">C26+C25</f>
        <v>2243</v>
      </c>
      <c r="D27" s="44" t="n">
        <f aca="false">D26+D25</f>
        <v>2371</v>
      </c>
      <c r="E27" s="44" t="n">
        <f aca="false">E26+E25</f>
        <v>2650.1008451936</v>
      </c>
      <c r="F27" s="44" t="n">
        <f aca="false">F26+F25</f>
        <v>3105.1937541088</v>
      </c>
      <c r="G27" s="44" t="n">
        <f aca="false">G26+G25</f>
        <v>3788.85132966784</v>
      </c>
      <c r="H27" s="44" t="n">
        <f aca="false">H26+H25</f>
        <v>4690.73723798638</v>
      </c>
      <c r="I27" s="44" t="n">
        <f aca="false">I26+I25</f>
        <v>5857.86644977804</v>
      </c>
    </row>
    <row r="30" customFormat="false" ht="45" hidden="false" customHeight="true" outlineLevel="0" collapsed="false">
      <c r="A30" s="36" t="s">
        <v>245</v>
      </c>
      <c r="B30" s="36"/>
      <c r="C30" s="36"/>
      <c r="D30" s="36"/>
      <c r="E30" s="36"/>
      <c r="F30" s="36"/>
      <c r="G30" s="36"/>
      <c r="H30" s="36"/>
      <c r="I30" s="36"/>
    </row>
  </sheetData>
  <mergeCells count="7">
    <mergeCell ref="A1:I1"/>
    <mergeCell ref="A2:I2"/>
    <mergeCell ref="A5:I5"/>
    <mergeCell ref="A13:I13"/>
    <mergeCell ref="A14:I14"/>
    <mergeCell ref="A19:I19"/>
    <mergeCell ref="A30:I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9" min="2" style="0" width="12"/>
    <col collapsed="false" customWidth="true" hidden="false" outlineLevel="0" max="10" min="10" style="0" width="3"/>
    <col collapsed="false" customWidth="true" hidden="false" outlineLevel="0" max="11" min="11" style="0" width="40"/>
  </cols>
  <sheetData>
    <row r="1" customFormat="false" ht="24" hidden="false" customHeight="true" outlineLevel="0" collapsed="false">
      <c r="A1" s="16" t="s">
        <v>246</v>
      </c>
      <c r="B1" s="16"/>
      <c r="C1" s="16"/>
      <c r="D1" s="16"/>
      <c r="E1" s="16"/>
      <c r="F1" s="16"/>
      <c r="G1" s="16"/>
      <c r="H1" s="16"/>
      <c r="I1" s="16"/>
    </row>
    <row r="2" customFormat="false" ht="15.75" hidden="false" customHeight="true" outlineLevel="0" collapsed="false">
      <c r="A2" s="17" t="s">
        <v>247</v>
      </c>
      <c r="B2" s="17"/>
      <c r="C2" s="17"/>
      <c r="D2" s="17"/>
      <c r="E2" s="17"/>
      <c r="F2" s="17"/>
      <c r="G2" s="17"/>
      <c r="H2" s="17"/>
      <c r="I2" s="17"/>
    </row>
    <row r="4" customFormat="false" ht="15" hidden="false" customHeight="false" outlineLevel="0" collapsed="false">
      <c r="E4" s="19" t="s">
        <v>93</v>
      </c>
      <c r="F4" s="19" t="s">
        <v>94</v>
      </c>
      <c r="G4" s="19" t="s">
        <v>95</v>
      </c>
      <c r="H4" s="19" t="s">
        <v>96</v>
      </c>
      <c r="I4" s="19" t="s">
        <v>97</v>
      </c>
    </row>
    <row r="5" customFormat="false" ht="67.5" hidden="false" customHeight="true" outlineLevel="0" collapsed="false">
      <c r="A5" s="36" t="s">
        <v>248</v>
      </c>
      <c r="B5" s="36"/>
      <c r="C5" s="36"/>
      <c r="D5" s="36"/>
      <c r="E5" s="36"/>
      <c r="F5" s="36"/>
      <c r="G5" s="36"/>
      <c r="H5" s="36"/>
      <c r="I5" s="36"/>
    </row>
    <row r="7" customFormat="false" ht="15.75" hidden="false" customHeight="true" outlineLevel="0" collapsed="false">
      <c r="A7" s="6" t="s">
        <v>249</v>
      </c>
      <c r="B7" s="6"/>
      <c r="C7" s="6"/>
      <c r="D7" s="6"/>
      <c r="E7" s="6"/>
      <c r="F7" s="6"/>
    </row>
    <row r="8" customFormat="false" ht="15" hidden="false" customHeight="false" outlineLevel="0" collapsed="false">
      <c r="A8" s="42" t="s">
        <v>250</v>
      </c>
      <c r="E8" s="40" t="n">
        <f aca="false">'Income Statement'!E36</f>
        <v>140.966468639999</v>
      </c>
      <c r="F8" s="40" t="n">
        <f aca="false">'Income Statement'!F36</f>
        <v>341.12096448</v>
      </c>
      <c r="G8" s="40" t="n">
        <f aca="false">'Income Statement'!G36</f>
        <v>611.46629436672</v>
      </c>
      <c r="H8" s="40" t="n">
        <f aca="false">'Income Statement'!H36</f>
        <v>870.278408183059</v>
      </c>
      <c r="I8" s="40" t="n">
        <f aca="false">'Income Statement'!I36</f>
        <v>1163.66276856714</v>
      </c>
    </row>
    <row r="9" customFormat="false" ht="15" hidden="false" customHeight="false" outlineLevel="0" collapsed="false">
      <c r="A9" s="42" t="s">
        <v>251</v>
      </c>
      <c r="E9" s="40" t="n">
        <f aca="false">-MAX(E8,0)*Assumptions!C42</f>
        <v>-36.6512818463999</v>
      </c>
      <c r="F9" s="40" t="n">
        <f aca="false">-MAX(F8,0)*Assumptions!D42</f>
        <v>-88.6914507647999</v>
      </c>
      <c r="G9" s="40" t="n">
        <f aca="false">-MAX(G8,0)*Assumptions!E42</f>
        <v>-152.86657359168</v>
      </c>
      <c r="H9" s="40" t="n">
        <f aca="false">-MAX(H8,0)*Assumptions!F42</f>
        <v>-217.569602045765</v>
      </c>
      <c r="I9" s="40" t="n">
        <f aca="false">-MAX(I8,0)*Assumptions!G42</f>
        <v>-279.279064456115</v>
      </c>
    </row>
    <row r="10" customFormat="false" ht="15" hidden="false" customHeight="false" outlineLevel="0" collapsed="false">
      <c r="A10" s="39" t="s">
        <v>252</v>
      </c>
      <c r="E10" s="27" t="n">
        <f aca="false">E8+E9</f>
        <v>104.3151867936</v>
      </c>
      <c r="F10" s="27" t="n">
        <f aca="false">F8+F9</f>
        <v>252.4295137152</v>
      </c>
      <c r="G10" s="27" t="n">
        <f aca="false">G8+G9</f>
        <v>458.59972077504</v>
      </c>
      <c r="H10" s="27" t="n">
        <f aca="false">H8+H9</f>
        <v>652.708806137295</v>
      </c>
      <c r="I10" s="27" t="n">
        <f aca="false">I8+I9</f>
        <v>884.38370411103</v>
      </c>
    </row>
    <row r="12" customFormat="false" ht="15" hidden="false" customHeight="false" outlineLevel="0" collapsed="false">
      <c r="A12" s="42" t="s">
        <v>253</v>
      </c>
      <c r="E12" s="40" t="n">
        <f aca="false">ABS('Income Statement'!E35)</f>
        <v>79.3614384</v>
      </c>
      <c r="F12" s="40" t="n">
        <f aca="false">ABS('Income Statement'!F35)</f>
        <v>92.2077144</v>
      </c>
      <c r="G12" s="40" t="n">
        <f aca="false">ABS('Income Statement'!G35)</f>
        <v>104.0308558848</v>
      </c>
      <c r="H12" s="40" t="n">
        <f aca="false">ABS('Income Statement'!H35)</f>
        <v>113.46755895072</v>
      </c>
      <c r="I12" s="40" t="n">
        <f aca="false">ABS('Income Statement'!I35)</f>
        <v>129.21594230039</v>
      </c>
    </row>
    <row r="13" customFormat="false" ht="15" hidden="false" customHeight="false" outlineLevel="0" collapsed="false">
      <c r="A13" s="42" t="s">
        <v>254</v>
      </c>
      <c r="E13" s="27" t="n">
        <f aca="false">-'Balance Sheet'!E7</f>
        <v>-88.179376</v>
      </c>
      <c r="F13" s="27" t="n">
        <f aca="false">-'Balance Sheet'!F7</f>
        <v>-103.0556808</v>
      </c>
      <c r="G13" s="27" t="n">
        <f aca="false">-'Balance Sheet'!G7</f>
        <v>-117.0347128704</v>
      </c>
      <c r="H13" s="27" t="n">
        <f aca="false">-'Balance Sheet'!H7</f>
        <v>-128.596566810816</v>
      </c>
      <c r="I13" s="27" t="n">
        <f aca="false">-'Balance Sheet'!I7</f>
        <v>-137.83033845375</v>
      </c>
    </row>
    <row r="14" customFormat="false" ht="15" hidden="false" customHeight="false" outlineLevel="0" collapsed="false">
      <c r="A14" s="42" t="s">
        <v>255</v>
      </c>
      <c r="E14" s="40" t="n">
        <f aca="false">-Assumptions!C44*('Income Statement'!E9-'Income Statement'!D9)</f>
        <v>-26.999064</v>
      </c>
      <c r="F14" s="40" t="n">
        <f aca="false">-Assumptions!D44*('Income Statement'!F9-'Income Statement'!E9)</f>
        <v>-30.450432</v>
      </c>
      <c r="G14" s="40" t="n">
        <f aca="false">-Assumptions!E44*('Income Statement'!G9-'Income Statement'!F9)</f>
        <v>-32.338358784</v>
      </c>
      <c r="H14" s="40" t="n">
        <f aca="false">-Assumptions!F44*('Income Statement'!H9-'Income Statement'!G9)</f>
        <v>-31.87726311744</v>
      </c>
      <c r="I14" s="40" t="n">
        <f aca="false">-Assumptions!G44*('Income Statement'!I9-'Income Statement'!H9)</f>
        <v>-31.4967666993409</v>
      </c>
    </row>
    <row r="15" customFormat="false" ht="15" hidden="false" customHeight="false" outlineLevel="0" collapsed="false">
      <c r="A15" s="42" t="s">
        <v>256</v>
      </c>
      <c r="E15" s="40" t="n">
        <f aca="false">-Assumptions!C48*('Balance Sheet'!E6-'Balance Sheet'!D6)</f>
        <v>-62.9268</v>
      </c>
      <c r="F15" s="40" t="n">
        <f aca="false">-Assumptions!D48*('Balance Sheet'!F6-'Balance Sheet'!E6)</f>
        <v>-65.3415519999999</v>
      </c>
      <c r="G15" s="40" t="n">
        <f aca="false">-Assumptions!E48*('Balance Sheet'!G6-'Balance Sheet'!F6)</f>
        <v>-80.2654355999999</v>
      </c>
      <c r="H15" s="40" t="n">
        <f aca="false">-Assumptions!F48*('Balance Sheet'!H6-'Balance Sheet'!G6)</f>
        <v>-73.8147018960001</v>
      </c>
      <c r="I15" s="40" t="n">
        <f aca="false">-Assumptions!G48*('Balance Sheet'!I6-'Balance Sheet'!H6)</f>
        <v>-82.5495529547521</v>
      </c>
    </row>
    <row r="17" customFormat="false" ht="60" hidden="false" customHeight="true" outlineLevel="0" collapsed="false">
      <c r="A17" s="36" t="s">
        <v>257</v>
      </c>
      <c r="B17" s="36"/>
      <c r="C17" s="36"/>
      <c r="D17" s="36"/>
      <c r="E17" s="36"/>
      <c r="F17" s="36"/>
      <c r="G17" s="36"/>
      <c r="H17" s="36"/>
      <c r="I17" s="36"/>
    </row>
    <row r="18" customFormat="false" ht="15" hidden="false" customHeight="false" outlineLevel="0" collapsed="false">
      <c r="A18" s="39" t="s">
        <v>258</v>
      </c>
      <c r="E18" s="44" t="n">
        <f aca="false">SUM(E10,E12,E13,E14,E15)</f>
        <v>5.57138519359955</v>
      </c>
      <c r="F18" s="44" t="n">
        <f aca="false">SUM(F10,F12,F13,F14,F15)</f>
        <v>145.7895633152</v>
      </c>
      <c r="G18" s="44" t="n">
        <f aca="false">SUM(G10,G12,G13,G14,G15)</f>
        <v>332.99206940544</v>
      </c>
      <c r="H18" s="44" t="n">
        <f aca="false">SUM(H10,H12,H13,H14,H15)</f>
        <v>531.887833263758</v>
      </c>
      <c r="I18" s="44" t="n">
        <f aca="false">SUM(I10,I12,I13,I14,I15)</f>
        <v>761.722988303577</v>
      </c>
    </row>
    <row r="20" customFormat="false" ht="15.75" hidden="false" customHeight="true" outlineLevel="0" collapsed="false">
      <c r="A20" s="6" t="s">
        <v>259</v>
      </c>
      <c r="B20" s="6"/>
      <c r="C20" s="6"/>
      <c r="D20" s="6"/>
      <c r="E20" s="6"/>
      <c r="F20" s="6"/>
    </row>
    <row r="21" customFormat="false" ht="15" hidden="false" customHeight="false" outlineLevel="0" collapsed="false">
      <c r="A21" s="42" t="s">
        <v>260</v>
      </c>
      <c r="E21" s="51" t="n">
        <v>0.5</v>
      </c>
      <c r="F21" s="51" t="n">
        <v>1.5</v>
      </c>
      <c r="G21" s="51" t="n">
        <v>2.5</v>
      </c>
      <c r="H21" s="51" t="n">
        <v>3.5</v>
      </c>
      <c r="I21" s="51" t="n">
        <v>4.5</v>
      </c>
    </row>
    <row r="22" customFormat="false" ht="15" hidden="false" customHeight="false" outlineLevel="0" collapsed="false">
      <c r="A22" s="42" t="s">
        <v>261</v>
      </c>
      <c r="E22" s="52" t="n">
        <f aca="false">1/(1+Assumptions!$C$60)^E21</f>
        <v>0.949371842324043</v>
      </c>
      <c r="F22" s="52" t="n">
        <f aca="false">1/(1+Assumptions!$C$60)^F21</f>
        <v>0.855675387403373</v>
      </c>
      <c r="G22" s="52" t="n">
        <f aca="false">1/(1+Assumptions!$C$60)^G21</f>
        <v>0.771226126546528</v>
      </c>
      <c r="H22" s="52" t="n">
        <f aca="false">1/(1+Assumptions!$C$60)^H21</f>
        <v>0.695111425458791</v>
      </c>
      <c r="I22" s="52" t="n">
        <f aca="false">1/(1+Assumptions!$C$60)^I21</f>
        <v>0.626508720557721</v>
      </c>
    </row>
    <row r="23" customFormat="false" ht="15" hidden="false" customHeight="false" outlineLevel="0" collapsed="false">
      <c r="A23" s="39" t="s">
        <v>262</v>
      </c>
      <c r="E23" s="44" t="n">
        <f aca="false">E18*E22</f>
        <v>5.2893162255445</v>
      </c>
      <c r="F23" s="44" t="n">
        <f aca="false">F18*F22</f>
        <v>124.748541069102</v>
      </c>
      <c r="G23" s="44" t="n">
        <f aca="false">G18*G22</f>
        <v>256.81218385827</v>
      </c>
      <c r="H23" s="44" t="n">
        <f aca="false">H18*H22</f>
        <v>369.721309964159</v>
      </c>
      <c r="I23" s="44" t="n">
        <f aca="false">I18*I22</f>
        <v>477.226094821478</v>
      </c>
    </row>
    <row r="25" customFormat="false" ht="15.75" hidden="false" customHeight="true" outlineLevel="0" collapsed="false">
      <c r="A25" s="6" t="s">
        <v>263</v>
      </c>
      <c r="B25" s="6"/>
      <c r="C25" s="6"/>
      <c r="D25" s="6"/>
      <c r="E25" s="6"/>
      <c r="F25" s="6"/>
    </row>
    <row r="26" customFormat="false" ht="15" hidden="false" customHeight="false" outlineLevel="0" collapsed="false">
      <c r="A26" s="20" t="s">
        <v>264</v>
      </c>
      <c r="E26" s="27" t="n">
        <f aca="false">I18</f>
        <v>761.722988303577</v>
      </c>
    </row>
    <row r="27" customFormat="false" ht="15" hidden="false" customHeight="false" outlineLevel="0" collapsed="false">
      <c r="A27" s="20" t="s">
        <v>129</v>
      </c>
      <c r="E27" s="50" t="n">
        <f aca="false">Assumptions!$C$61</f>
        <v>0.035</v>
      </c>
    </row>
    <row r="28" customFormat="false" ht="15" hidden="false" customHeight="false" outlineLevel="0" collapsed="false">
      <c r="A28" s="20" t="s">
        <v>128</v>
      </c>
      <c r="E28" s="43" t="n">
        <f aca="false">Assumptions!$C$60</f>
        <v>0.1095</v>
      </c>
    </row>
    <row r="29" customFormat="false" ht="15" hidden="false" customHeight="false" outlineLevel="0" collapsed="false">
      <c r="A29" s="35" t="s">
        <v>265</v>
      </c>
      <c r="E29" s="53" t="n">
        <f aca="false">E26*(1+E27)/(E28-E27)</f>
        <v>10582.3260791168</v>
      </c>
    </row>
    <row r="30" customFormat="false" ht="15" hidden="false" customHeight="false" outlineLevel="0" collapsed="false">
      <c r="A30" s="18" t="s">
        <v>266</v>
      </c>
      <c r="E30" s="40" t="n">
        <f aca="false">'Income Statement'!I36</f>
        <v>1163.66276856714</v>
      </c>
    </row>
    <row r="31" customFormat="false" ht="15" hidden="false" customHeight="false" outlineLevel="0" collapsed="false">
      <c r="A31" s="35" t="s">
        <v>267</v>
      </c>
      <c r="E31" s="54" t="n">
        <f aca="false">E29/E30</f>
        <v>9.09398011603239</v>
      </c>
    </row>
    <row r="32" customFormat="false" ht="15" hidden="false" customHeight="false" outlineLevel="0" collapsed="false">
      <c r="A32" s="20" t="s">
        <v>268</v>
      </c>
      <c r="E32" s="55" t="n">
        <f aca="false">1/(1+E28)^5</f>
        <v>0.594789738267962</v>
      </c>
    </row>
    <row r="33" customFormat="false" ht="15" hidden="false" customHeight="false" outlineLevel="0" collapsed="false">
      <c r="A33" s="35" t="s">
        <v>269</v>
      </c>
      <c r="E33" s="53" t="n">
        <f aca="false">E29*E32</f>
        <v>6294.25895886412</v>
      </c>
    </row>
    <row r="35" customFormat="false" ht="15.75" hidden="false" customHeight="true" outlineLevel="0" collapsed="false">
      <c r="A35" s="6" t="s">
        <v>270</v>
      </c>
      <c r="B35" s="6"/>
      <c r="C35" s="6"/>
      <c r="D35" s="6"/>
      <c r="E35" s="6"/>
      <c r="F35" s="6"/>
    </row>
    <row r="36" customFormat="false" ht="15" hidden="false" customHeight="false" outlineLevel="0" collapsed="false">
      <c r="A36" s="20" t="s">
        <v>271</v>
      </c>
      <c r="E36" s="27" t="n">
        <f aca="false">SUM(E23:I23)</f>
        <v>1233.79744593855</v>
      </c>
    </row>
    <row r="37" customFormat="false" ht="15" hidden="false" customHeight="false" outlineLevel="0" collapsed="false">
      <c r="A37" s="20" t="s">
        <v>272</v>
      </c>
      <c r="E37" s="27" t="n">
        <f aca="false">E33</f>
        <v>6294.25895886412</v>
      </c>
    </row>
    <row r="38" customFormat="false" ht="15" hidden="false" customHeight="false" outlineLevel="0" collapsed="false">
      <c r="A38" s="35" t="s">
        <v>273</v>
      </c>
      <c r="E38" s="56" t="n">
        <f aca="false">E36+E37</f>
        <v>7528.05640480267</v>
      </c>
    </row>
    <row r="39" customFormat="false" ht="15" hidden="false" customHeight="false" outlineLevel="0" collapsed="false">
      <c r="A39" s="20" t="s">
        <v>274</v>
      </c>
      <c r="E39" s="22" t="n">
        <f aca="false">E37/E38</f>
        <v>0.836106774498737</v>
      </c>
    </row>
    <row r="40" customFormat="false" ht="15" hidden="false" customHeight="false" outlineLevel="0" collapsed="false">
      <c r="A40" s="20" t="s">
        <v>275</v>
      </c>
      <c r="E40" s="27" t="n">
        <f aca="false">Assumptions!$C$25</f>
        <v>-1200</v>
      </c>
    </row>
    <row r="41" customFormat="false" ht="15" hidden="false" customHeight="false" outlineLevel="0" collapsed="false">
      <c r="A41" s="35" t="s">
        <v>276</v>
      </c>
      <c r="E41" s="56" t="n">
        <f aca="false">E38-E40</f>
        <v>8728.05640480267</v>
      </c>
    </row>
    <row r="42" customFormat="false" ht="15" hidden="false" customHeight="false" outlineLevel="0" collapsed="false">
      <c r="A42" s="20" t="s">
        <v>114</v>
      </c>
      <c r="E42" s="57" t="n">
        <f aca="false">Assumptions!$C$21</f>
        <v>377.8</v>
      </c>
    </row>
    <row r="43" customFormat="false" ht="15" hidden="false" customHeight="false" outlineLevel="0" collapsed="false">
      <c r="A43" s="35" t="s">
        <v>277</v>
      </c>
      <c r="E43" s="58" t="n">
        <f aca="false">E41/E42</f>
        <v>23.1023197586095</v>
      </c>
    </row>
    <row r="45" customFormat="false" ht="15" hidden="false" customHeight="false" outlineLevel="0" collapsed="false">
      <c r="A45" s="20" t="s">
        <v>278</v>
      </c>
      <c r="E45" s="59" t="n">
        <f aca="false">Assumptions!$C$17</f>
        <v>40</v>
      </c>
    </row>
    <row r="46" customFormat="false" ht="15" hidden="false" customHeight="false" outlineLevel="0" collapsed="false">
      <c r="A46" s="20" t="s">
        <v>279</v>
      </c>
      <c r="E46" s="59" t="n">
        <f aca="false">Assumptions!$C$18</f>
        <v>45.82</v>
      </c>
    </row>
    <row r="47" customFormat="false" ht="15" hidden="false" customHeight="false" outlineLevel="0" collapsed="false">
      <c r="A47" s="35" t="s">
        <v>280</v>
      </c>
      <c r="E47" s="60" t="n">
        <f aca="false">E43/E45-1</f>
        <v>-0.422442006034763</v>
      </c>
    </row>
    <row r="49" customFormat="false" ht="60" hidden="false" customHeight="true" outlineLevel="0" collapsed="false">
      <c r="A49" s="36" t="s">
        <v>281</v>
      </c>
      <c r="B49" s="36"/>
      <c r="C49" s="36"/>
      <c r="D49" s="36"/>
      <c r="E49" s="36"/>
      <c r="F49" s="36"/>
      <c r="G49" s="36"/>
      <c r="H49" s="36"/>
      <c r="I49" s="36"/>
    </row>
  </sheetData>
  <mergeCells count="9">
    <mergeCell ref="A1:I1"/>
    <mergeCell ref="A2:I2"/>
    <mergeCell ref="A5:I5"/>
    <mergeCell ref="A7:F7"/>
    <mergeCell ref="A17:I17"/>
    <mergeCell ref="A20:F20"/>
    <mergeCell ref="A25:F25"/>
    <mergeCell ref="A35:F35"/>
    <mergeCell ref="A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4"/>
    <col collapsed="false" customWidth="true" hidden="false" outlineLevel="0" max="5" min="4" style="0" width="13"/>
    <col collapsed="false" customWidth="true" hidden="false" outlineLevel="0" max="8" min="6" style="0" width="11"/>
    <col collapsed="false" customWidth="true" hidden="false" outlineLevel="0" max="9" min="9" style="0" width="3"/>
    <col collapsed="false" customWidth="true" hidden="false" outlineLevel="0" max="10" min="10" style="0" width="40"/>
  </cols>
  <sheetData>
    <row r="1" customFormat="false" ht="24" hidden="false" customHeight="true" outlineLevel="0" collapsed="false">
      <c r="A1" s="16" t="s">
        <v>282</v>
      </c>
      <c r="B1" s="16"/>
      <c r="C1" s="16"/>
      <c r="D1" s="16"/>
      <c r="E1" s="16"/>
      <c r="F1" s="16"/>
      <c r="G1" s="16"/>
      <c r="H1" s="16"/>
      <c r="I1" s="16"/>
    </row>
    <row r="2" customFormat="false" ht="15.75" hidden="false" customHeight="true" outlineLevel="0" collapsed="false">
      <c r="A2" s="17" t="s">
        <v>283</v>
      </c>
      <c r="B2" s="17"/>
      <c r="C2" s="17"/>
      <c r="D2" s="17"/>
      <c r="E2" s="17"/>
      <c r="F2" s="17"/>
      <c r="G2" s="17"/>
      <c r="H2" s="17"/>
      <c r="I2" s="17"/>
    </row>
    <row r="4" customFormat="false" ht="18" hidden="false" customHeight="true" outlineLevel="0" collapsed="false">
      <c r="A4" s="6" t="s">
        <v>284</v>
      </c>
      <c r="B4" s="6"/>
      <c r="C4" s="6"/>
      <c r="D4" s="6"/>
      <c r="E4" s="6"/>
      <c r="F4" s="6"/>
      <c r="G4" s="6"/>
      <c r="H4" s="6"/>
    </row>
    <row r="5" customFormat="false" ht="15" hidden="false" customHeight="false" outlineLevel="0" collapsed="false">
      <c r="B5" s="19" t="s">
        <v>285</v>
      </c>
      <c r="C5" s="19" t="s">
        <v>286</v>
      </c>
      <c r="D5" s="19" t="s">
        <v>287</v>
      </c>
      <c r="E5" s="19" t="s">
        <v>288</v>
      </c>
      <c r="F5" s="19" t="s">
        <v>289</v>
      </c>
      <c r="G5" s="19" t="s">
        <v>290</v>
      </c>
      <c r="H5" s="19" t="s">
        <v>291</v>
      </c>
      <c r="I5" s="19" t="s">
        <v>292</v>
      </c>
    </row>
    <row r="6" customFormat="false" ht="15" hidden="false" customHeight="false" outlineLevel="0" collapsed="false">
      <c r="A6" s="20" t="s">
        <v>152</v>
      </c>
      <c r="B6" s="40" t="n">
        <f aca="false">Assumptions!C78</f>
        <v>25000</v>
      </c>
      <c r="C6" s="40" t="n">
        <f aca="false">Assumptions!D78</f>
        <v>7000</v>
      </c>
      <c r="D6" s="27" t="n">
        <f aca="false">B6+C6</f>
        <v>32000</v>
      </c>
      <c r="E6" s="40" t="n">
        <f aca="false">Assumptions!E78</f>
        <v>3200</v>
      </c>
      <c r="F6" s="40" t="n">
        <f aca="false">Assumptions!F78</f>
        <v>3850</v>
      </c>
      <c r="G6" s="37" t="n">
        <f aca="false">D6/E6</f>
        <v>10</v>
      </c>
      <c r="H6" s="37" t="n">
        <f aca="false">D6/F6</f>
        <v>8.31168831168831</v>
      </c>
      <c r="I6" s="50" t="n">
        <f aca="false">Assumptions!G78</f>
        <v>0.35</v>
      </c>
    </row>
    <row r="7" customFormat="false" ht="15" hidden="false" customHeight="false" outlineLevel="0" collapsed="false">
      <c r="A7" s="20" t="s">
        <v>153</v>
      </c>
      <c r="B7" s="40" t="n">
        <f aca="false">Assumptions!C79</f>
        <v>68000</v>
      </c>
      <c r="C7" s="40" t="n">
        <f aca="false">Assumptions!D79</f>
        <v>-1500</v>
      </c>
      <c r="D7" s="27" t="n">
        <f aca="false">B7+C7</f>
        <v>66500</v>
      </c>
      <c r="E7" s="40" t="n">
        <f aca="false">Assumptions!E79</f>
        <v>32300</v>
      </c>
      <c r="F7" s="40" t="n">
        <f aca="false">Assumptions!F79</f>
        <v>33800</v>
      </c>
      <c r="G7" s="37" t="n">
        <f aca="false">D7/E7</f>
        <v>2.05882352941176</v>
      </c>
      <c r="H7" s="37" t="n">
        <f aca="false">D7/F7</f>
        <v>1.96745562130178</v>
      </c>
      <c r="I7" s="50" t="n">
        <f aca="false">Assumptions!G79</f>
        <v>0.05</v>
      </c>
    </row>
    <row r="8" customFormat="false" ht="15" hidden="false" customHeight="false" outlineLevel="0" collapsed="false">
      <c r="A8" s="20" t="s">
        <v>154</v>
      </c>
      <c r="B8" s="40" t="n">
        <f aca="false">Assumptions!C80</f>
        <v>46000</v>
      </c>
      <c r="C8" s="40" t="n">
        <f aca="false">Assumptions!D80</f>
        <v>-2600</v>
      </c>
      <c r="D8" s="27" t="n">
        <f aca="false">B8+C8</f>
        <v>43400</v>
      </c>
      <c r="E8" s="40" t="n">
        <f aca="false">Assumptions!E80</f>
        <v>24500</v>
      </c>
      <c r="F8" s="40" t="n">
        <f aca="false">Assumptions!F80</f>
        <v>26400</v>
      </c>
      <c r="G8" s="37" t="n">
        <f aca="false">D8/E8</f>
        <v>1.77142857142857</v>
      </c>
      <c r="H8" s="37" t="n">
        <f aca="false">D8/F8</f>
        <v>1.64393939393939</v>
      </c>
      <c r="I8" s="50" t="n">
        <f aca="false">Assumptions!G80</f>
        <v>0.1</v>
      </c>
    </row>
    <row r="9" customFormat="false" ht="15" hidden="false" customHeight="false" outlineLevel="0" collapsed="false">
      <c r="A9" s="20" t="s">
        <v>155</v>
      </c>
      <c r="B9" s="40" t="n">
        <f aca="false">Assumptions!C81</f>
        <v>45000</v>
      </c>
      <c r="C9" s="40" t="n">
        <f aca="false">Assumptions!D81</f>
        <v>-1800</v>
      </c>
      <c r="D9" s="27" t="n">
        <f aca="false">B9+C9</f>
        <v>43200</v>
      </c>
      <c r="E9" s="40" t="n">
        <f aca="false">Assumptions!E81</f>
        <v>2100</v>
      </c>
      <c r="F9" s="40" t="n">
        <f aca="false">Assumptions!F81</f>
        <v>2500</v>
      </c>
      <c r="G9" s="37" t="n">
        <f aca="false">D9/E9</f>
        <v>20.5714285714286</v>
      </c>
      <c r="H9" s="37" t="n">
        <f aca="false">D9/F9</f>
        <v>17.28</v>
      </c>
      <c r="I9" s="50" t="n">
        <f aca="false">Assumptions!G81</f>
        <v>0.22</v>
      </c>
    </row>
    <row r="10" customFormat="false" ht="15" hidden="false" customHeight="false" outlineLevel="0" collapsed="false">
      <c r="A10" s="35" t="s">
        <v>293</v>
      </c>
      <c r="G10" s="61" t="n">
        <f aca="false">AVERAGE(G6:G9)</f>
        <v>8.60042016806723</v>
      </c>
      <c r="H10" s="61" t="n">
        <f aca="false">AVERAGE(H6:H9)</f>
        <v>7.30077083173237</v>
      </c>
    </row>
    <row r="11" customFormat="false" ht="15" hidden="false" customHeight="false" outlineLevel="0" collapsed="false">
      <c r="A11" s="35" t="s">
        <v>294</v>
      </c>
      <c r="G11" s="62" t="n">
        <f aca="false">MEDIAN(G6:G9)</f>
        <v>6.02941176470588</v>
      </c>
      <c r="H11" s="62" t="n">
        <f aca="false">MEDIAN(H6:H9)</f>
        <v>5.13957196649504</v>
      </c>
    </row>
    <row r="12" customFormat="false" ht="15" hidden="false" customHeight="false" outlineLevel="0" collapsed="false">
      <c r="A12" s="35" t="s">
        <v>295</v>
      </c>
      <c r="G12" s="54" t="n">
        <f aca="false">G6</f>
        <v>10</v>
      </c>
      <c r="H12" s="54" t="n">
        <f aca="false">H6</f>
        <v>8.31168831168831</v>
      </c>
    </row>
    <row r="14" customFormat="false" ht="60" hidden="false" customHeight="true" outlineLevel="0" collapsed="false">
      <c r="A14" s="36" t="s">
        <v>296</v>
      </c>
      <c r="B14" s="36"/>
      <c r="C14" s="36"/>
      <c r="D14" s="36"/>
      <c r="E14" s="36"/>
      <c r="F14" s="36"/>
      <c r="G14" s="36"/>
      <c r="H14" s="36"/>
      <c r="I14" s="36"/>
    </row>
    <row r="16" customFormat="false" ht="18" hidden="false" customHeight="true" outlineLevel="0" collapsed="false">
      <c r="A16" s="6" t="s">
        <v>297</v>
      </c>
      <c r="B16" s="6"/>
      <c r="C16" s="6"/>
      <c r="D16" s="6"/>
      <c r="E16" s="6"/>
      <c r="F16" s="6"/>
      <c r="G16" s="6"/>
      <c r="H16" s="6"/>
    </row>
    <row r="17" customFormat="false" ht="15" hidden="false" customHeight="false" outlineLevel="0" collapsed="false">
      <c r="B17" s="19" t="s">
        <v>298</v>
      </c>
      <c r="C17" s="19" t="s">
        <v>299</v>
      </c>
      <c r="D17" s="19" t="s">
        <v>300</v>
      </c>
    </row>
    <row r="18" customFormat="false" ht="15" hidden="false" customHeight="false" outlineLevel="0" collapsed="false">
      <c r="A18" s="20" t="s">
        <v>301</v>
      </c>
      <c r="B18" s="63" t="n">
        <v>3</v>
      </c>
      <c r="C18" s="63" t="n">
        <v>4.25</v>
      </c>
      <c r="D18" s="63" t="n">
        <v>5.5</v>
      </c>
    </row>
    <row r="19" customFormat="false" ht="15" hidden="false" customHeight="false" outlineLevel="0" collapsed="false">
      <c r="A19" s="35" t="s">
        <v>302</v>
      </c>
      <c r="E19" s="64" t="s">
        <v>303</v>
      </c>
    </row>
    <row r="20" customFormat="false" ht="15" hidden="false" customHeight="false" outlineLevel="0" collapsed="false">
      <c r="A20" s="20" t="s">
        <v>304</v>
      </c>
      <c r="B20" s="65" t="n">
        <f aca="false">'Income Statement'!E9</f>
        <v>4408.9688</v>
      </c>
      <c r="C20" s="65"/>
      <c r="D20" s="65"/>
    </row>
    <row r="21" customFormat="false" ht="15" hidden="false" customHeight="false" outlineLevel="0" collapsed="false">
      <c r="A21" s="35" t="s">
        <v>305</v>
      </c>
      <c r="B21" s="44" t="n">
        <f aca="false">B18*$B$20</f>
        <v>13226.9064</v>
      </c>
      <c r="C21" s="44" t="n">
        <f aca="false">C18*$B$20</f>
        <v>18738.1174</v>
      </c>
      <c r="D21" s="44" t="n">
        <f aca="false">D18*$B$20</f>
        <v>24249.3284</v>
      </c>
    </row>
    <row r="22" customFormat="false" ht="15" hidden="false" customHeight="false" outlineLevel="0" collapsed="false">
      <c r="A22" s="20" t="s">
        <v>306</v>
      </c>
      <c r="B22" s="40" t="n">
        <f aca="false">Assumptions!$C$25</f>
        <v>-1200</v>
      </c>
      <c r="C22" s="40" t="n">
        <f aca="false">Assumptions!$C$25</f>
        <v>-1200</v>
      </c>
      <c r="D22" s="40" t="n">
        <f aca="false">Assumptions!$C$25</f>
        <v>-1200</v>
      </c>
    </row>
    <row r="23" customFormat="false" ht="15" hidden="false" customHeight="false" outlineLevel="0" collapsed="false">
      <c r="A23" s="35" t="s">
        <v>307</v>
      </c>
      <c r="B23" s="53" t="n">
        <f aca="false">B21-B22</f>
        <v>14426.9064</v>
      </c>
      <c r="C23" s="53" t="n">
        <f aca="false">C21-C22</f>
        <v>19938.1174</v>
      </c>
      <c r="D23" s="53" t="n">
        <f aca="false">D21-D22</f>
        <v>25449.3284</v>
      </c>
    </row>
    <row r="24" customFormat="false" ht="15" hidden="false" customHeight="false" outlineLevel="0" collapsed="false">
      <c r="A24" s="20" t="s">
        <v>114</v>
      </c>
      <c r="B24" s="45" t="n">
        <f aca="false">Assumptions!$C$21</f>
        <v>377.8</v>
      </c>
      <c r="C24" s="45" t="n">
        <f aca="false">Assumptions!$C$21</f>
        <v>377.8</v>
      </c>
      <c r="D24" s="45" t="n">
        <f aca="false">Assumptions!$C$21</f>
        <v>377.8</v>
      </c>
    </row>
    <row r="25" customFormat="false" ht="15" hidden="false" customHeight="false" outlineLevel="0" collapsed="false">
      <c r="A25" s="35" t="s">
        <v>277</v>
      </c>
      <c r="B25" s="58" t="n">
        <f aca="false">B23/B24</f>
        <v>38.1866236103759</v>
      </c>
      <c r="C25" s="58" t="n">
        <f aca="false">C23/C24</f>
        <v>52.774265219693</v>
      </c>
      <c r="D25" s="58" t="n">
        <f aca="false">D23/D24</f>
        <v>67.3619068290101</v>
      </c>
    </row>
    <row r="27" customFormat="false" ht="30" hidden="false" customHeight="true" outlineLevel="0" collapsed="false">
      <c r="A27" s="36" t="s">
        <v>308</v>
      </c>
      <c r="B27" s="36"/>
      <c r="C27" s="36"/>
      <c r="D27" s="36"/>
      <c r="E27" s="36"/>
      <c r="F27" s="36"/>
      <c r="G27" s="36"/>
      <c r="H27" s="36"/>
      <c r="I27" s="36"/>
    </row>
  </sheetData>
  <mergeCells count="7">
    <mergeCell ref="A1:I1"/>
    <mergeCell ref="A2:I2"/>
    <mergeCell ref="A4:H4"/>
    <mergeCell ref="A14:I14"/>
    <mergeCell ref="A16:H16"/>
    <mergeCell ref="B20:D20"/>
    <mergeCell ref="A27:I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6"/>
    <col collapsed="false" customWidth="true" hidden="false" outlineLevel="0" max="7" min="7" style="0" width="3"/>
    <col collapsed="false" customWidth="true" hidden="false" outlineLevel="0" max="8" min="8" style="0" width="40"/>
  </cols>
  <sheetData>
    <row r="1" customFormat="false" ht="24" hidden="false" customHeight="true" outlineLevel="0" collapsed="false">
      <c r="A1" s="16" t="s">
        <v>309</v>
      </c>
      <c r="B1" s="16"/>
      <c r="C1" s="16"/>
      <c r="D1" s="16"/>
      <c r="E1" s="16"/>
      <c r="F1" s="16"/>
    </row>
    <row r="2" customFormat="false" ht="15.75" hidden="false" customHeight="true" outlineLevel="0" collapsed="false">
      <c r="A2" s="17" t="s">
        <v>310</v>
      </c>
      <c r="B2" s="17"/>
      <c r="C2" s="17"/>
      <c r="D2" s="17"/>
      <c r="E2" s="17"/>
      <c r="F2" s="17"/>
    </row>
    <row r="4" customFormat="false" ht="18" hidden="false" customHeight="true" outlineLevel="0" collapsed="false">
      <c r="A4" s="6" t="s">
        <v>311</v>
      </c>
      <c r="B4" s="6"/>
      <c r="C4" s="6"/>
      <c r="D4" s="6"/>
      <c r="E4" s="6"/>
    </row>
    <row r="5" customFormat="false" ht="15" hidden="false" customHeight="false" outlineLevel="0" collapsed="false">
      <c r="B5" s="19" t="s">
        <v>138</v>
      </c>
      <c r="C5" s="19" t="s">
        <v>312</v>
      </c>
      <c r="D5" s="19" t="s">
        <v>313</v>
      </c>
      <c r="E5" s="19" t="s">
        <v>141</v>
      </c>
      <c r="F5" s="19" t="s">
        <v>314</v>
      </c>
    </row>
    <row r="6" customFormat="false" ht="15" hidden="false" customHeight="false" outlineLevel="0" collapsed="false">
      <c r="A6" s="35" t="s">
        <v>143</v>
      </c>
      <c r="B6" s="44" t="n">
        <f aca="false">Assumptions!C72</f>
        <v>31000</v>
      </c>
      <c r="C6" s="44" t="n">
        <f aca="false">Assumptions!D72</f>
        <v>45600</v>
      </c>
      <c r="D6" s="44" t="n">
        <f aca="false">Assumptions!E72</f>
        <v>6700</v>
      </c>
      <c r="E6" s="44" t="n">
        <f aca="false">Assumptions!F72</f>
        <v>15100</v>
      </c>
      <c r="F6" s="44" t="n">
        <f aca="false">Assumptions!G72</f>
        <v>19650</v>
      </c>
    </row>
    <row r="7" customFormat="false" ht="15" hidden="false" customHeight="false" outlineLevel="0" collapsed="false">
      <c r="A7" s="20" t="s">
        <v>315</v>
      </c>
      <c r="B7" s="40" t="n">
        <f aca="false">Assumptions!C73</f>
        <v>1850</v>
      </c>
      <c r="C7" s="40" t="n">
        <f aca="false">Assumptions!D73</f>
        <v>1850</v>
      </c>
      <c r="D7" s="40" t="n">
        <f aca="false">Assumptions!E73</f>
        <v>2266</v>
      </c>
      <c r="E7" s="40" t="n">
        <f aca="false">Assumptions!F73</f>
        <v>3509</v>
      </c>
      <c r="F7" s="40" t="n">
        <f aca="false">Assumptions!G73</f>
        <v>3509</v>
      </c>
    </row>
    <row r="8" customFormat="false" ht="15" hidden="false" customHeight="false" outlineLevel="0" collapsed="false">
      <c r="A8" s="35" t="s">
        <v>145</v>
      </c>
      <c r="B8" s="37" t="n">
        <f aca="false">B6/B7</f>
        <v>16.7567567567568</v>
      </c>
      <c r="C8" s="37" t="n">
        <f aca="false">C6/C7</f>
        <v>24.6486486486487</v>
      </c>
      <c r="D8" s="37" t="n">
        <f aca="false">D6/D7</f>
        <v>2.9567519858782</v>
      </c>
      <c r="E8" s="37" t="n">
        <f aca="false">E6/E7</f>
        <v>4.30322029068111</v>
      </c>
      <c r="F8" s="37" t="n">
        <f aca="false">F6/F7</f>
        <v>5.59988600740952</v>
      </c>
    </row>
    <row r="9" customFormat="false" ht="15" hidden="false" customHeight="false" outlineLevel="0" collapsed="false">
      <c r="A9" s="20" t="s">
        <v>316</v>
      </c>
      <c r="C9" s="22" t="n">
        <f aca="false">C6/B6-1</f>
        <v>0.470967741935484</v>
      </c>
      <c r="D9" s="22" t="n">
        <f aca="false">D6/C6-1</f>
        <v>-0.853070175438597</v>
      </c>
      <c r="E9" s="22" t="n">
        <f aca="false">E6/D6-1</f>
        <v>1.25373134328358</v>
      </c>
      <c r="F9" s="22" t="n">
        <f aca="false">F6/E6-1</f>
        <v>0.301324503311258</v>
      </c>
    </row>
    <row r="11" customFormat="false" ht="18" hidden="false" customHeight="true" outlineLevel="0" collapsed="false">
      <c r="A11" s="6" t="s">
        <v>317</v>
      </c>
      <c r="B11" s="6"/>
      <c r="C11" s="6"/>
      <c r="D11" s="6"/>
      <c r="E11" s="6"/>
    </row>
    <row r="12" customFormat="false" ht="27.75" hidden="false" customHeight="true" outlineLevel="0" collapsed="false">
      <c r="A12" s="36" t="s">
        <v>318</v>
      </c>
      <c r="B12" s="36"/>
      <c r="C12" s="36"/>
      <c r="D12" s="36"/>
      <c r="E12" s="36"/>
      <c r="F12" s="36"/>
    </row>
    <row r="13" customFormat="false" ht="18" hidden="false" customHeight="true" outlineLevel="0" collapsed="false">
      <c r="A13" s="6" t="s">
        <v>319</v>
      </c>
      <c r="B13" s="6"/>
      <c r="C13" s="6"/>
      <c r="D13" s="6"/>
      <c r="E13" s="6"/>
    </row>
    <row r="14" customFormat="false" ht="15" hidden="false" customHeight="false" outlineLevel="0" collapsed="false">
      <c r="A14" s="35" t="s">
        <v>320</v>
      </c>
      <c r="B14" s="44" t="n">
        <f aca="false">C6</f>
        <v>45600</v>
      </c>
    </row>
    <row r="15" customFormat="false" ht="15" hidden="false" customHeight="false" outlineLevel="0" collapsed="false">
      <c r="A15" s="42" t="s">
        <v>321</v>
      </c>
      <c r="B15" s="27" t="n">
        <f aca="false">C8*(D7-C7)</f>
        <v>10253.8378378378</v>
      </c>
    </row>
    <row r="16" customFormat="false" ht="15" hidden="false" customHeight="false" outlineLevel="0" collapsed="false">
      <c r="A16" s="42" t="s">
        <v>322</v>
      </c>
      <c r="B16" s="27" t="n">
        <f aca="false">D7*(D8-C8)</f>
        <v>-49153.8378378378</v>
      </c>
    </row>
    <row r="17" customFormat="false" ht="15" hidden="false" customHeight="false" outlineLevel="0" collapsed="false">
      <c r="A17" s="35" t="s">
        <v>323</v>
      </c>
      <c r="B17" s="44" t="n">
        <f aca="false">B14+B15+B16</f>
        <v>6700</v>
      </c>
    </row>
    <row r="18" customFormat="false" ht="15" hidden="false" customHeight="false" outlineLevel="0" collapsed="false">
      <c r="A18" s="18" t="s">
        <v>324</v>
      </c>
      <c r="B18" s="66" t="n">
        <f aca="false">B17-D6</f>
        <v>0</v>
      </c>
    </row>
    <row r="20" customFormat="false" ht="18" hidden="false" customHeight="true" outlineLevel="0" collapsed="false">
      <c r="A20" s="6" t="s">
        <v>325</v>
      </c>
      <c r="B20" s="6"/>
      <c r="C20" s="6"/>
      <c r="D20" s="6"/>
      <c r="E20" s="6"/>
    </row>
    <row r="21" customFormat="false" ht="15" hidden="false" customHeight="false" outlineLevel="0" collapsed="false">
      <c r="A21" s="35" t="s">
        <v>323</v>
      </c>
      <c r="B21" s="44" t="n">
        <f aca="false">D6</f>
        <v>6700</v>
      </c>
    </row>
    <row r="22" customFormat="false" ht="15" hidden="false" customHeight="false" outlineLevel="0" collapsed="false">
      <c r="A22" s="42" t="s">
        <v>321</v>
      </c>
      <c r="B22" s="27" t="n">
        <f aca="false">D8*(E7-D7)</f>
        <v>3675.2427184466</v>
      </c>
    </row>
    <row r="23" customFormat="false" ht="15" hidden="false" customHeight="false" outlineLevel="0" collapsed="false">
      <c r="A23" s="42" t="s">
        <v>322</v>
      </c>
      <c r="B23" s="27" t="n">
        <f aca="false">E7*(E8-D8)</f>
        <v>4724.7572815534</v>
      </c>
    </row>
    <row r="24" customFormat="false" ht="15" hidden="false" customHeight="false" outlineLevel="0" collapsed="false">
      <c r="A24" s="35" t="s">
        <v>326</v>
      </c>
      <c r="B24" s="44" t="n">
        <f aca="false">B21+B22+B23</f>
        <v>15100</v>
      </c>
    </row>
    <row r="25" customFormat="false" ht="15" hidden="false" customHeight="false" outlineLevel="0" collapsed="false">
      <c r="A25" s="18" t="s">
        <v>324</v>
      </c>
      <c r="B25" s="66" t="n">
        <f aca="false">B24-E6</f>
        <v>0</v>
      </c>
    </row>
    <row r="27" customFormat="false" ht="18" hidden="false" customHeight="true" outlineLevel="0" collapsed="false">
      <c r="A27" s="6" t="s">
        <v>327</v>
      </c>
      <c r="B27" s="6"/>
      <c r="C27" s="6"/>
      <c r="D27" s="6"/>
      <c r="E27" s="6"/>
    </row>
    <row r="28" customFormat="false" ht="15" hidden="false" customHeight="false" outlineLevel="0" collapsed="false">
      <c r="A28" s="35" t="s">
        <v>328</v>
      </c>
      <c r="B28" s="44" t="n">
        <f aca="false">E6</f>
        <v>15100</v>
      </c>
    </row>
    <row r="29" customFormat="false" ht="15" hidden="false" customHeight="false" outlineLevel="0" collapsed="false">
      <c r="A29" s="42" t="s">
        <v>321</v>
      </c>
      <c r="B29" s="27" t="n">
        <f aca="false">E8*(F7-E7)</f>
        <v>0</v>
      </c>
    </row>
    <row r="30" customFormat="false" ht="15" hidden="false" customHeight="false" outlineLevel="0" collapsed="false">
      <c r="A30" s="42" t="s">
        <v>322</v>
      </c>
      <c r="B30" s="27" t="n">
        <f aca="false">F7*(F8-E8)</f>
        <v>4550</v>
      </c>
    </row>
    <row r="31" customFormat="false" ht="15" hidden="false" customHeight="false" outlineLevel="0" collapsed="false">
      <c r="A31" s="35" t="s">
        <v>329</v>
      </c>
      <c r="B31" s="44" t="n">
        <f aca="false">B28+B29+B30</f>
        <v>19650</v>
      </c>
    </row>
    <row r="32" customFormat="false" ht="15" hidden="false" customHeight="false" outlineLevel="0" collapsed="false">
      <c r="A32" s="18" t="s">
        <v>324</v>
      </c>
      <c r="B32" s="66" t="n">
        <f aca="false">B31-F6</f>
        <v>0</v>
      </c>
    </row>
    <row r="34" customFormat="false" ht="18" hidden="false" customHeight="true" outlineLevel="0" collapsed="false">
      <c r="A34" s="6" t="s">
        <v>330</v>
      </c>
      <c r="B34" s="6"/>
      <c r="C34" s="6"/>
      <c r="D34" s="6"/>
      <c r="E34" s="6"/>
    </row>
    <row r="35" customFormat="false" ht="15" hidden="false" customHeight="false" outlineLevel="0" collapsed="false">
      <c r="A35" s="20" t="s">
        <v>331</v>
      </c>
      <c r="B35" s="53" t="n">
        <f aca="false">C6</f>
        <v>45600</v>
      </c>
      <c r="C35" s="67" t="s">
        <v>332</v>
      </c>
    </row>
    <row r="36" customFormat="false" ht="15" hidden="false" customHeight="false" outlineLevel="0" collapsed="false">
      <c r="A36" s="20" t="s">
        <v>333</v>
      </c>
      <c r="B36" s="68" t="n">
        <f aca="false">B15</f>
        <v>10253.8378378378</v>
      </c>
      <c r="C36" s="67" t="s">
        <v>334</v>
      </c>
    </row>
    <row r="37" customFormat="false" ht="15" hidden="false" customHeight="false" outlineLevel="0" collapsed="false">
      <c r="A37" s="20" t="s">
        <v>335</v>
      </c>
      <c r="B37" s="68" t="n">
        <f aca="false">B16</f>
        <v>-49153.8378378378</v>
      </c>
      <c r="C37" s="67" t="s">
        <v>334</v>
      </c>
    </row>
    <row r="38" customFormat="false" ht="15" hidden="false" customHeight="false" outlineLevel="0" collapsed="false">
      <c r="A38" s="20" t="s">
        <v>336</v>
      </c>
      <c r="B38" s="53" t="n">
        <f aca="false">D6</f>
        <v>6700</v>
      </c>
      <c r="C38" s="67" t="s">
        <v>332</v>
      </c>
    </row>
    <row r="39" customFormat="false" ht="15" hidden="false" customHeight="false" outlineLevel="0" collapsed="false">
      <c r="A39" s="20" t="s">
        <v>337</v>
      </c>
      <c r="B39" s="68" t="n">
        <f aca="false">B22</f>
        <v>3675.2427184466</v>
      </c>
      <c r="C39" s="67" t="s">
        <v>334</v>
      </c>
    </row>
    <row r="40" customFormat="false" ht="15" hidden="false" customHeight="false" outlineLevel="0" collapsed="false">
      <c r="A40" s="20" t="s">
        <v>338</v>
      </c>
      <c r="B40" s="68" t="n">
        <f aca="false">B23</f>
        <v>4724.7572815534</v>
      </c>
      <c r="C40" s="67" t="s">
        <v>334</v>
      </c>
    </row>
    <row r="41" customFormat="false" ht="15" hidden="false" customHeight="false" outlineLevel="0" collapsed="false">
      <c r="A41" s="20" t="s">
        <v>339</v>
      </c>
      <c r="B41" s="53" t="n">
        <f aca="false">E6</f>
        <v>15100</v>
      </c>
      <c r="C41" s="67" t="s">
        <v>332</v>
      </c>
    </row>
    <row r="42" customFormat="false" ht="15" hidden="false" customHeight="false" outlineLevel="0" collapsed="false">
      <c r="A42" s="20" t="s">
        <v>340</v>
      </c>
      <c r="B42" s="68" t="n">
        <f aca="false">B30+B29</f>
        <v>4550</v>
      </c>
      <c r="C42" s="67" t="s">
        <v>334</v>
      </c>
    </row>
    <row r="43" customFormat="false" ht="15" hidden="false" customHeight="false" outlineLevel="0" collapsed="false">
      <c r="A43" s="20" t="s">
        <v>341</v>
      </c>
      <c r="B43" s="53" t="n">
        <f aca="false">F6</f>
        <v>19650</v>
      </c>
      <c r="C43" s="67" t="s">
        <v>332</v>
      </c>
    </row>
    <row r="45" customFormat="false" ht="54.75" hidden="false" customHeight="true" outlineLevel="0" collapsed="false">
      <c r="A45" s="36" t="s">
        <v>342</v>
      </c>
      <c r="B45" s="36"/>
      <c r="C45" s="36"/>
      <c r="D45" s="36"/>
      <c r="E45" s="36"/>
      <c r="F45" s="36"/>
    </row>
    <row r="46" customFormat="false" ht="15" hidden="false" customHeight="false" outlineLevel="0" collapsed="false">
      <c r="A46" s="67" t="s">
        <v>343</v>
      </c>
      <c r="B46" s="67" t="s">
        <v>344</v>
      </c>
      <c r="C46" s="67" t="s">
        <v>345</v>
      </c>
    </row>
  </sheetData>
  <mergeCells count="10">
    <mergeCell ref="A1:F1"/>
    <mergeCell ref="A2:F2"/>
    <mergeCell ref="A4:E4"/>
    <mergeCell ref="A11:E11"/>
    <mergeCell ref="A12:F12"/>
    <mergeCell ref="A13:E13"/>
    <mergeCell ref="A20:E20"/>
    <mergeCell ref="A27:E27"/>
    <mergeCell ref="A34:E34"/>
    <mergeCell ref="A45:F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2"/>
    <col collapsed="false" customWidth="true" hidden="false" outlineLevel="0" max="9" min="9" style="0" width="3"/>
    <col collapsed="false" customWidth="true" hidden="false" outlineLevel="0" max="10" min="10" style="0" width="40"/>
  </cols>
  <sheetData>
    <row r="1" customFormat="false" ht="24" hidden="false" customHeight="true" outlineLevel="0" collapsed="false">
      <c r="A1" s="16" t="s">
        <v>346</v>
      </c>
      <c r="B1" s="16"/>
      <c r="C1" s="16"/>
      <c r="D1" s="16"/>
      <c r="E1" s="16"/>
      <c r="F1" s="16"/>
      <c r="G1" s="16"/>
      <c r="H1" s="16"/>
    </row>
    <row r="2" customFormat="false" ht="15.75" hidden="false" customHeight="true" outlineLevel="0" collapsed="false">
      <c r="A2" s="17" t="s">
        <v>347</v>
      </c>
      <c r="B2" s="17"/>
      <c r="C2" s="17"/>
      <c r="D2" s="17"/>
      <c r="E2" s="17"/>
      <c r="F2" s="17"/>
      <c r="G2" s="17"/>
      <c r="H2" s="17"/>
    </row>
    <row r="4" customFormat="false" ht="18" hidden="false" customHeight="true" outlineLevel="0" collapsed="false">
      <c r="A4" s="6" t="s">
        <v>348</v>
      </c>
      <c r="B4" s="6"/>
      <c r="C4" s="6"/>
      <c r="D4" s="6"/>
      <c r="E4" s="6"/>
      <c r="F4" s="6"/>
      <c r="G4" s="6"/>
    </row>
    <row r="5" customFormat="false" ht="15" hidden="false" customHeight="true" outlineLevel="0" collapsed="false">
      <c r="A5" s="69" t="s">
        <v>349</v>
      </c>
      <c r="B5" s="69"/>
      <c r="C5" s="69"/>
      <c r="D5" s="69"/>
      <c r="E5" s="69"/>
      <c r="F5" s="69"/>
      <c r="G5" s="69"/>
      <c r="H5" s="69"/>
    </row>
    <row r="6" customFormat="false" ht="15" hidden="false" customHeight="false" outlineLevel="0" collapsed="false">
      <c r="A6" s="35" t="s">
        <v>350</v>
      </c>
      <c r="B6" s="70" t="n">
        <v>0.025</v>
      </c>
      <c r="C6" s="70" t="n">
        <v>0.03</v>
      </c>
      <c r="D6" s="70" t="n">
        <v>0.035</v>
      </c>
      <c r="E6" s="70" t="n">
        <v>0.04</v>
      </c>
      <c r="F6" s="70" t="n">
        <v>0.045</v>
      </c>
    </row>
    <row r="7" customFormat="false" ht="15" hidden="false" customHeight="false" outlineLevel="0" collapsed="false">
      <c r="A7" s="71" t="n">
        <v>0.0895</v>
      </c>
      <c r="B7" s="59" t="n">
        <f aca="false">(((('DCF Valuation'!E18/(1+$A7)^0.5)+('DCF Valuation'!F18/(1+$A7)^1.5)+('DCF Valuation'!G18/(1+$A7)^2.5)+('DCF Valuation'!H18/(1+$A7)^3.5)+('DCF Valuation'!I18/(1+$A7)^4.5))+(('DCF Valuation'!I18*(1+B$6)/($A7-B$6))/(1+$A7)^5))-Assumptions!$C$25)/Assumptions!$C$21</f>
        <v>27.5269492771767</v>
      </c>
      <c r="C7" s="59" t="n">
        <f aca="false">(((('DCF Valuation'!E18/(1+$A7)^0.5)+('DCF Valuation'!F18/(1+$A7)^1.5)+('DCF Valuation'!G18/(1+$A7)^2.5)+('DCF Valuation'!H18/(1+$A7)^3.5)+('DCF Valuation'!I18/(1+$A7)^4.5))+(('DCF Valuation'!I18*(1+C$6)/($A7-C$6))/(1+$A7)^5))-Assumptions!$C$25)/Assumptions!$C$21</f>
        <v>29.3912651387995</v>
      </c>
      <c r="D7" s="59" t="n">
        <f aca="false">(((('DCF Valuation'!E18/(1+$A7)^0.5)+('DCF Valuation'!F18/(1+$A7)^1.5)+('DCF Valuation'!G18/(1+$A7)^2.5)+('DCF Valuation'!H18/(1+$A7)^3.5)+('DCF Valuation'!I18/(1+$A7)^4.5))+(('DCF Valuation'!I18*(1+D$6)/($A7-D$6))/(1+$A7)^5))-Assumptions!$C$25)/Assumptions!$C$21</f>
        <v>31.5976573053073</v>
      </c>
      <c r="E7" s="59" t="n">
        <f aca="false">(((('DCF Valuation'!E18/(1+$A7)^0.5)+('DCF Valuation'!F18/(1+$A7)^1.5)+('DCF Valuation'!G18/(1+$A7)^2.5)+('DCF Valuation'!H18/(1+$A7)^3.5)+('DCF Valuation'!I18/(1+$A7)^4.5))+(('DCF Valuation'!I18*(1+E$6)/($A7-E$6))/(1+$A7)^5))-Assumptions!$C$25)/Assumptions!$C$21</f>
        <v>34.2497852630288</v>
      </c>
      <c r="F7" s="59" t="n">
        <f aca="false">(((('DCF Valuation'!E18/(1+$A7)^0.5)+('DCF Valuation'!F18/(1+$A7)^1.5)+('DCF Valuation'!G18/(1+$A7)^2.5)+('DCF Valuation'!H18/(1+$A7)^3.5)+('DCF Valuation'!I18/(1+$A7)^4.5))+(('DCF Valuation'!I18*(1+F$6)/($A7-F$6))/(1+$A7)^5))-Assumptions!$C$25)/Assumptions!$C$21</f>
        <v>37.4978970314742</v>
      </c>
    </row>
    <row r="8" customFormat="false" ht="15" hidden="false" customHeight="false" outlineLevel="0" collapsed="false">
      <c r="A8" s="71" t="n">
        <v>0.0995</v>
      </c>
      <c r="B8" s="59" t="n">
        <f aca="false">(((('DCF Valuation'!E18/(1+$A8)^0.5)+('DCF Valuation'!F18/(1+$A8)^1.5)+('DCF Valuation'!G18/(1+$A8)^2.5)+('DCF Valuation'!H18/(1+$A8)^3.5)+('DCF Valuation'!I18/(1+$A8)^4.5))+(('DCF Valuation'!I18*(1+B$6)/($A8-B$6))/(1+$A8)^5))-Assumptions!$C$25)/Assumptions!$C$21</f>
        <v>23.809609650708</v>
      </c>
      <c r="C8" s="59" t="n">
        <f aca="false">(((('DCF Valuation'!E18/(1+$A8)^0.5)+('DCF Valuation'!F18/(1+$A8)^1.5)+('DCF Valuation'!G18/(1+$A8)^2.5)+('DCF Valuation'!H18/(1+$A8)^3.5)+('DCF Valuation'!I18/(1+$A8)^4.5))+(('DCF Valuation'!I18*(1+C$6)/($A8-C$6))/(1+$A8)^5))-Assumptions!$C$25)/Assumptions!$C$21</f>
        <v>25.1418515897271</v>
      </c>
      <c r="D8" s="59" t="n">
        <f aca="false">(((('DCF Valuation'!E18/(1+$A8)^0.5)+('DCF Valuation'!F18/(1+$A8)^1.5)+('DCF Valuation'!G18/(1+$A8)^2.5)+('DCF Valuation'!H18/(1+$A8)^3.5)+('DCF Valuation'!I18/(1+$A8)^4.5))+(('DCF Valuation'!I18*(1+D$6)/($A8-D$6))/(1+$A8)^5))-Assumptions!$C$25)/Assumptions!$C$21</f>
        <v>26.6806426665785</v>
      </c>
      <c r="E8" s="59" t="n">
        <f aca="false">(((('DCF Valuation'!E18/(1+$A8)^0.5)+('DCF Valuation'!F18/(1+$A8)^1.5)+('DCF Valuation'!G18/(1+$A8)^2.5)+('DCF Valuation'!H18/(1+$A8)^3.5)+('DCF Valuation'!I18/(1+$A8)^4.5))+(('DCF Valuation'!I18*(1+E$6)/($A8-E$6))/(1+$A8)^5))-Assumptions!$C$25)/Assumptions!$C$21</f>
        <v>28.4780540924806</v>
      </c>
      <c r="F8" s="59" t="n">
        <f aca="false">(((('DCF Valuation'!E18/(1+$A8)^0.5)+('DCF Valuation'!F18/(1+$A8)^1.5)+('DCF Valuation'!G18/(1+$A8)^2.5)+('DCF Valuation'!H18/(1+$A8)^3.5)+('DCF Valuation'!I18/(1+$A8)^4.5))+(('DCF Valuation'!I18*(1+F$6)/($A8-F$6))/(1+$A8)^5))-Assumptions!$C$25)/Assumptions!$C$21</f>
        <v>30.6052657800161</v>
      </c>
    </row>
    <row r="9" customFormat="false" ht="15" hidden="false" customHeight="false" outlineLevel="0" collapsed="false">
      <c r="A9" s="71" t="n">
        <v>0.1095</v>
      </c>
      <c r="B9" s="59" t="n">
        <f aca="false">(((('DCF Valuation'!E18/(1+$A9)^0.5)+('DCF Valuation'!F18/(1+$A9)^1.5)+('DCF Valuation'!G18/(1+$A9)^2.5)+('DCF Valuation'!H18/(1+$A9)^3.5)+('DCF Valuation'!I18/(1+$A9)^4.5))+(('DCF Valuation'!I18*(1+B$6)/($A9-B$6))/(1+$A9)^5))-Assumptions!$C$25)/Assumptions!$C$21</f>
        <v>20.9887679354696</v>
      </c>
      <c r="C9" s="59" t="n">
        <f aca="false">(((('DCF Valuation'!E18/(1+$A9)^0.5)+('DCF Valuation'!F18/(1+$A9)^1.5)+('DCF Valuation'!G18/(1+$A9)^2.5)+('DCF Valuation'!H18/(1+$A9)^3.5)+('DCF Valuation'!I18/(1+$A9)^4.5))+(('DCF Valuation'!I18*(1+C$6)/($A9-C$6))/(1+$A9)^5))-Assumptions!$C$25)/Assumptions!$C$21</f>
        <v>21.9790799532302</v>
      </c>
      <c r="D9" s="72" t="n">
        <f aca="false">(((('DCF Valuation'!E18/(1+$A9)^0.5)+('DCF Valuation'!F18/(1+$A9)^1.5)+('DCF Valuation'!G18/(1+$A9)^2.5)+('DCF Valuation'!H18/(1+$A9)^3.5)+('DCF Valuation'!I18/(1+$A9)^4.5))+(('DCF Valuation'!I18*(1+D$6)/($A9-D$6))/(1+$A9)^5))-Assumptions!$C$25)/Assumptions!$C$21</f>
        <v>23.1023197586095</v>
      </c>
      <c r="E9" s="59" t="n">
        <f aca="false">(((('DCF Valuation'!E18/(1+$A9)^0.5)+('DCF Valuation'!F18/(1+$A9)^1.5)+('DCF Valuation'!G18/(1+$A9)^2.5)+('DCF Valuation'!H18/(1+$A9)^3.5)+('DCF Valuation'!I18/(1+$A9)^4.5))+(('DCF Valuation'!I18*(1+E$6)/($A9-E$6))/(1+$A9)^5))-Assumptions!$C$25)/Assumptions!$C$21</f>
        <v>24.3871768021729</v>
      </c>
      <c r="F9" s="59" t="n">
        <f aca="false">(((('DCF Valuation'!E18/(1+$A9)^0.5)+('DCF Valuation'!F18/(1+$A9)^1.5)+('DCF Valuation'!G18/(1+$A9)^2.5)+('DCF Valuation'!H18/(1+$A9)^3.5)+('DCF Valuation'!I18/(1+$A9)^4.5))+(('DCF Valuation'!I18*(1+F$6)/($A9-F$6))/(1+$A9)^5))-Assumptions!$C$25)/Assumptions!$C$21</f>
        <v>25.8712364881493</v>
      </c>
    </row>
    <row r="10" customFormat="false" ht="15" hidden="false" customHeight="false" outlineLevel="0" collapsed="false">
      <c r="A10" s="71" t="n">
        <v>0.1195</v>
      </c>
      <c r="B10" s="59" t="n">
        <f aca="false">(((('DCF Valuation'!E18/(1+$A10)^0.5)+('DCF Valuation'!F18/(1+$A10)^1.5)+('DCF Valuation'!G18/(1+$A10)^2.5)+('DCF Valuation'!H18/(1+$A10)^3.5)+('DCF Valuation'!I18/(1+$A10)^4.5))+(('DCF Valuation'!I18*(1+B$6)/($A10-B$6))/(1+$A10)^5))-Assumptions!$C$25)/Assumptions!$C$21</f>
        <v>18.7789715296293</v>
      </c>
      <c r="C10" s="59" t="n">
        <f aca="false">(((('DCF Valuation'!E18/(1+$A10)^0.5)+('DCF Valuation'!F18/(1+$A10)^1.5)+('DCF Valuation'!G18/(1+$A10)^2.5)+('DCF Valuation'!H18/(1+$A10)^3.5)+('DCF Valuation'!I18/(1+$A10)^4.5))+(('DCF Valuation'!I18*(1+C$6)/($A10-C$6))/(1+$A10)^5))-Assumptions!$C$25)/Assumptions!$C$21</f>
        <v>19.5378179289708</v>
      </c>
      <c r="D10" s="59" t="n">
        <f aca="false">(((('DCF Valuation'!E18/(1+$A10)^0.5)+('DCF Valuation'!F18/(1+$A10)^1.5)+('DCF Valuation'!G18/(1+$A10)^2.5)+('DCF Valuation'!H18/(1+$A10)^3.5)+('DCF Valuation'!I18/(1+$A10)^4.5))+(('DCF Valuation'!I18*(1+D$6)/($A10-D$6))/(1+$A10)^5))-Assumptions!$C$25)/Assumptions!$C$21</f>
        <v>20.3864686359267</v>
      </c>
      <c r="E10" s="59" t="n">
        <f aca="false">(((('DCF Valuation'!E18/(1+$A10)^0.5)+('DCF Valuation'!F18/(1+$A10)^1.5)+('DCF Valuation'!G18/(1+$A10)^2.5)+('DCF Valuation'!H18/(1+$A10)^3.5)+('DCF Valuation'!I18/(1+$A10)^4.5))+(('DCF Valuation'!I18*(1+E$6)/($A10-E$6))/(1+$A10)^5))-Assumptions!$C$25)/Assumptions!$C$21</f>
        <v>21.3418678594808</v>
      </c>
      <c r="F10" s="59" t="n">
        <f aca="false">(((('DCF Valuation'!E18/(1+$A10)^0.5)+('DCF Valuation'!F18/(1+$A10)^1.5)+('DCF Valuation'!G18/(1+$A10)^2.5)+('DCF Valuation'!H18/(1+$A10)^3.5)+('DCF Valuation'!I18/(1+$A10)^4.5))+(('DCF Valuation'!I18*(1+F$6)/($A10-F$6))/(1+$A10)^5))-Assumptions!$C$25)/Assumptions!$C$21</f>
        <v>22.4255085895522</v>
      </c>
    </row>
    <row r="11" customFormat="false" ht="15" hidden="false" customHeight="false" outlineLevel="0" collapsed="false">
      <c r="A11" s="71" t="n">
        <v>0.1295</v>
      </c>
      <c r="B11" s="59" t="n">
        <f aca="false">(((('DCF Valuation'!E18/(1+$A11)^0.5)+('DCF Valuation'!F18/(1+$A11)^1.5)+('DCF Valuation'!G18/(1+$A11)^2.5)+('DCF Valuation'!H18/(1+$A11)^3.5)+('DCF Valuation'!I18/(1+$A11)^4.5))+(('DCF Valuation'!I18*(1+B$6)/($A11-B$6))/(1+$A11)^5))-Assumptions!$C$25)/Assumptions!$C$21</f>
        <v>17.0040849905775</v>
      </c>
      <c r="C11" s="59" t="n">
        <f aca="false">(((('DCF Valuation'!E18/(1+$A11)^0.5)+('DCF Valuation'!F18/(1+$A11)^1.5)+('DCF Valuation'!G18/(1+$A11)^2.5)+('DCF Valuation'!H18/(1+$A11)^3.5)+('DCF Valuation'!I18/(1+$A11)^4.5))+(('DCF Valuation'!I18*(1+C$6)/($A11-C$6))/(1+$A11)^5))-Assumptions!$C$25)/Assumptions!$C$21</f>
        <v>17.5997756647322</v>
      </c>
      <c r="D11" s="59" t="n">
        <f aca="false">(((('DCF Valuation'!E18/(1+$A11)^0.5)+('DCF Valuation'!F18/(1+$A11)^1.5)+('DCF Valuation'!G18/(1+$A11)^2.5)+('DCF Valuation'!H18/(1+$A11)^3.5)+('DCF Valuation'!I18/(1+$A11)^4.5))+(('DCF Valuation'!I18*(1+D$6)/($A11-D$6))/(1+$A11)^5))-Assumptions!$C$25)/Assumptions!$C$21</f>
        <v>18.2585023890621</v>
      </c>
      <c r="E11" s="59" t="n">
        <f aca="false">(((('DCF Valuation'!E18/(1+$A11)^0.5)+('DCF Valuation'!F18/(1+$A11)^1.5)+('DCF Valuation'!G18/(1+$A11)^2.5)+('DCF Valuation'!H18/(1+$A11)^3.5)+('DCF Valuation'!I18/(1+$A11)^4.5))+(('DCF Valuation'!I18*(1+E$6)/($A11-E$6))/(1+$A11)^5))-Assumptions!$C$25)/Assumptions!$C$21</f>
        <v>18.9908298647137</v>
      </c>
      <c r="F11" s="59" t="n">
        <f aca="false">(((('DCF Valuation'!E18/(1+$A11)^0.5)+('DCF Valuation'!F18/(1+$A11)^1.5)+('DCF Valuation'!G18/(1+$A11)^2.5)+('DCF Valuation'!H18/(1+$A11)^3.5)+('DCF Valuation'!I18/(1+$A11)^4.5))+(('DCF Valuation'!I18*(1+F$6)/($A11-F$6))/(1+$A11)^5))-Assumptions!$C$25)/Assumptions!$C$21</f>
        <v>19.8098233138153</v>
      </c>
    </row>
    <row r="13" customFormat="false" ht="15" hidden="false" customHeight="false" outlineLevel="0" collapsed="false">
      <c r="A13" s="18" t="s">
        <v>351</v>
      </c>
      <c r="B13" s="43" t="n">
        <f aca="false">Assumptions!$C$60</f>
        <v>0.1095</v>
      </c>
    </row>
    <row r="14" customFormat="false" ht="15" hidden="false" customHeight="false" outlineLevel="0" collapsed="false">
      <c r="A14" s="18" t="s">
        <v>352</v>
      </c>
      <c r="B14" s="50" t="n">
        <f aca="false">Assumptions!$C$61</f>
        <v>0.035</v>
      </c>
    </row>
    <row r="16" customFormat="false" ht="18" hidden="false" customHeight="true" outlineLevel="0" collapsed="false">
      <c r="A16" s="6" t="s">
        <v>353</v>
      </c>
      <c r="B16" s="6"/>
      <c r="C16" s="6"/>
      <c r="D16" s="6"/>
      <c r="E16" s="6"/>
      <c r="F16" s="6"/>
      <c r="G16" s="6"/>
    </row>
    <row r="17" customFormat="false" ht="39.75" hidden="false" customHeight="true" outlineLevel="0" collapsed="false">
      <c r="A17" s="36" t="s">
        <v>354</v>
      </c>
      <c r="B17" s="36"/>
      <c r="C17" s="36"/>
      <c r="D17" s="36"/>
      <c r="E17" s="36"/>
      <c r="F17" s="36"/>
      <c r="G17" s="36"/>
      <c r="H17" s="36"/>
    </row>
    <row r="18" customFormat="false" ht="15" hidden="false" customHeight="false" outlineLevel="0" collapsed="false">
      <c r="A18" s="35" t="s">
        <v>355</v>
      </c>
      <c r="B18" s="73" t="n">
        <v>0.003</v>
      </c>
      <c r="C18" s="73" t="n">
        <v>0.0015</v>
      </c>
      <c r="D18" s="73" t="n">
        <v>0</v>
      </c>
      <c r="E18" s="73" t="n">
        <v>-0.0015</v>
      </c>
      <c r="F18" s="73" t="n">
        <v>-0.003</v>
      </c>
    </row>
    <row r="19" customFormat="false" ht="15" hidden="false" customHeight="false" outlineLevel="0" collapsed="false">
      <c r="A19" s="74" t="n">
        <v>-0.06</v>
      </c>
      <c r="B19" s="59" t="n">
        <f aca="false">((((((((('Income Statement'!D6*(1+(Assumptions!C29+$A19)))*Assumptions!C30)-((('Income Statement'!D6*(1+(Assumptions!C29+$A19)))*(Assumptions!C31+B$18))+((('Income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Statement'!D6*(1+(Assumptions!C29+$A19)))*Assumptions!C30)*Assumptions!C38))-MAX(((('Income Statement'!D6*(1+(Assumptions!C29+$A19)))*Assumptions!C30)-((('Income Statement'!D6*(1+(Assumptions!C29+$A19)))*(Assumptions!C31+B$18))+((('Income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Statement'!D6*(1+(Assumptions!C29+$A19)))*Assumptions!C30)*Assumptions!C38)),0)*Assumptions!C42)+((('Income Statement'!D6*(1+(Assumptions!C29+$A19)))*Assumptions!C30)*Assumptions!C38)-((('Income Statement'!D6*(1+(Assumptions!C29+$A19)))*Assumptions!C30)*Assumptions!C43)-(Assumptions!C44*((('Income Statement'!D6*(1+(Assumptions!C29+$A19)))*Assumptions!C30)-'Income Statement'!D9))-(Assumptions!C48*((('Income Statement'!D6*(1+(Assumptions!C29+$A19)))*Assumptions!C46)-'Balance Sheet'!D6)))/(1+Assumptions!$C$60)^0.5)+((((((('Income Statement'!D6*(1+(Assumptions!C29+$A19)))*(1+(Assumptions!D29+$A19)))*Assumptions!D30)-(((('Income Statement'!D6*(1+(Assumptions!C29+$A19)))*(1+(Assumptions!D29+$A19)))*(Assumptions!D31+B$18))+(((('Income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Statement'!D6*(1+(Assumptions!C29+$A19)))*(1+(Assumptions!D29+$A19)))*Assumptions!D30)*Assumptions!D38))-MAX((((('Income Statement'!D6*(1+(Assumptions!C29+$A19)))*(1+(Assumptions!D29+$A19)))*Assumptions!D30)-(((('Income Statement'!D6*(1+(Assumptions!C29+$A19)))*(1+(Assumptions!D29+$A19)))*(Assumptions!D31+B$18))+(((('Income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Statement'!D6*(1+(Assumptions!C29+$A19)))*(1+(Assumptions!D29+$A19)))*Assumptions!D30)*Assumptions!D38)),0)*Assumptions!D42)+(((('Income Statement'!D6*(1+(Assumptions!C29+$A19)))*(1+(Assumptions!D29+$A19)))*Assumptions!D30)*Assumptions!D38)-(((('Income Statement'!D6*(1+(Assumptions!C29+$A19)))*(1+(Assumptions!D29+$A19)))*Assumptions!D30)*Assumptions!D43)-(Assumptions!D44*(((('Income Statement'!D6*(1+(Assumptions!C29+$A19)))*(1+(Assumptions!D29+$A19)))*Assumptions!D30)-(('Income Statement'!D6*(1+(Assumptions!C29+$A19)))*Assumptions!C30)))-(Assumptions!D48*(((('Income Statement'!D6*(1+(Assumptions!C29+$A19)))*(1+(Assumptions!D29+$A19)))*Assumptions!D46)-(('Income Statement'!D6*(1+(Assumptions!C29+$A19)))*Assumptions!C46))))/(1+Assumptions!$C$60)^1.5)+(((((((('Income Statement'!D6*(1+(Assumptions!C29+$A19)))*(1+(Assumptions!D29+$A19)))*(1+(Assumptions!E29+$A19)))*Assumptions!E30)-((((('Income Statement'!D6*(1+(Assumptions!C29+$A19)))*(1+(Assumptions!D29+$A19)))*(1+(Assumptions!E29+$A19)))*(Assumptions!E31+B$18))+((((('Income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Statement'!D6*(1+(Assumptions!C29+$A19)))*(1+(Assumptions!D29+$A19)))*(1+(Assumptions!E29+$A19)))*Assumptions!E30)*Assumptions!E38))-MAX(((((('Income Statement'!D6*(1+(Assumptions!C29+$A19)))*(1+(Assumptions!D29+$A19)))*(1+(Assumptions!E29+$A19)))*Assumptions!E30)-((((('Income Statement'!D6*(1+(Assumptions!C29+$A19)))*(1+(Assumptions!D29+$A19)))*(1+(Assumptions!E29+$A19)))*(Assumptions!E31+B$18))+((((('Income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Statement'!D6*(1+(Assumptions!C29+$A19)))*(1+(Assumptions!D29+$A19)))*(1+(Assumptions!E29+$A19)))*Assumptions!E30)*Assumptions!E38)),0)*Assumptions!E42)+((((('Income Statement'!D6*(1+(Assumptions!C29+$A19)))*(1+(Assumptions!D29+$A19)))*(1+(Assumptions!E29+$A19)))*Assumptions!E30)*Assumptions!E38)-((((('Income Statement'!D6*(1+(Assumptions!C29+$A19)))*(1+(Assumptions!D29+$A19)))*(1+(Assumptions!E29+$A19)))*Assumptions!E30)*Assumptions!E43)-(Assumptions!E44*((((('Income Statement'!D6*(1+(Assumptions!C29+$A19)))*(1+(Assumptions!D29+$A19)))*(1+(Assumptions!E29+$A19)))*Assumptions!E30)-((('Income Statement'!D6*(1+(Assumptions!C29+$A19)))*(1+(Assumptions!D29+$A19)))*Assumptions!D30)))-(Assumptions!E48*((((('Income Statement'!D6*(1+(Assumptions!C29+$A19)))*(1+(Assumptions!D29+$A19)))*(1+(Assumptions!E29+$A19)))*Assumptions!E46)-((('Income Statement'!D6*(1+(Assumptions!C29+$A19)))*(1+(Assumptions!D29+$A19)))*Assumptions!D46))))/(1+Assumptions!$C$60)^2.5)+((((((((('Income Statement'!D6*(1+(Assumptions!C29+$A19)))*(1+(Assumptions!D29+$A19)))*(1+(Assumptions!E29+$A19)))*(1+(Assumptions!F29+$A19)))*Assumptions!F30)-(((((('Income Statement'!D6*(1+(Assumptions!C29+$A19)))*(1+(Assumptions!D29+$A19)))*(1+(Assumptions!E29+$A19)))*(1+(Assumptions!F29+$A19)))*(Assumptions!F31+B$18))+(((((('Income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Statement'!D6*(1+(Assumptions!C29+$A19)))*(1+(Assumptions!D29+$A19)))*(1+(Assumptions!E29+$A19)))*(1+(Assumptions!F29+$A19)))*Assumptions!F30)*Assumptions!F38))-MAX((((((('Income Statement'!D6*(1+(Assumptions!C29+$A19)))*(1+(Assumptions!D29+$A19)))*(1+(Assumptions!E29+$A19)))*(1+(Assumptions!F29+$A19)))*Assumptions!F30)-(((((('Income Statement'!D6*(1+(Assumptions!C29+$A19)))*(1+(Assumptions!D29+$A19)))*(1+(Assumptions!E29+$A19)))*(1+(Assumptions!F29+$A19)))*(Assumptions!F31+B$18))+(((((('Income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Statement'!D6*(1+(Assumptions!C29+$A19)))*(1+(Assumptions!D29+$A19)))*(1+(Assumptions!E29+$A19)))*(1+(Assumptions!F29+$A19)))*Assumptions!F30)*Assumptions!F38)),0)*Assumptions!F42)+(((((('Income Statement'!D6*(1+(Assumptions!C29+$A19)))*(1+(Assumptions!D29+$A19)))*(1+(Assumptions!E29+$A19)))*(1+(Assumptions!F29+$A19)))*Assumptions!F30)*Assumptions!F38)-(((((('Income Statement'!D6*(1+(Assumptions!C29+$A19)))*(1+(Assumptions!D29+$A19)))*(1+(Assumptions!E29+$A19)))*(1+(Assumptions!F29+$A19)))*Assumptions!F30)*Assumptions!F43)-(Assumptions!F44*(((((('Income Statement'!D6*(1+(Assumptions!C29+$A19)))*(1+(Assumptions!D29+$A19)))*(1+(Assumptions!E29+$A19)))*(1+(Assumptions!F29+$A19)))*Assumptions!F30)-(((('Income Statement'!D6*(1+(Assumptions!C29+$A19)))*(1+(Assumptions!D29+$A19)))*(1+(Assumptions!E29+$A19)))*Assumptions!E30)))-(Assumptions!F48*(((((('Income Statement'!D6*(1+(Assumptions!C29+$A19)))*(1+(Assumptions!D29+$A19)))*(1+(Assumptions!E29+$A19)))*(1+(Assumptions!F29+$A19)))*Assumptions!F46)-(((('Income Statement'!D6*(1+(Assumptions!C29+$A19)))*(1+(Assumptions!D29+$A19)))*(1+(Assumptions!E29+$A19)))*Assumptions!E46))))/(1+Assumptions!$C$60)^3.5)+(((((((((('Income Statement'!D6*(1+(Assumptions!C29+$A19)))*(1+(Assumptions!D29+$A19)))*(1+(Assumptions!E29+$A19)))*(1+(Assumptions!F29+$A19)))*(1+(Assumptions!G29+$A19)))*Assumptions!G30)-((((((('Income Statement'!D6*(1+(Assumptions!C29+$A19)))*(1+(Assumptions!D29+$A19)))*(1+(Assumptions!E29+$A19)))*(1+(Assumptions!F29+$A19)))*(1+(Assumptions!G29+$A19)))*(Assumptions!G31+B$18))+((((((('Income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Statement'!D6*(1+(Assumptions!C29+$A19)))*(1+(Assumptions!D29+$A19)))*(1+(Assumptions!E29+$A19)))*(1+(Assumptions!F29+$A19)))*(1+(Assumptions!G29+$A19)))*(Assumptions!G31+B$18))+((((((('Income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Statement'!D6*(1+(Assumptions!C29+$A19)))*(1+(Assumptions!D29+$A19)))*(1+(Assumptions!E29+$A19)))*(1+(Assumptions!F29+$A19)))*Assumptions!F46))))/(1+Assumptions!$C$60)^4.5))+((((((((((('Income Statement'!D6*(1+(Assumptions!C29+$A19)))*(1+(Assumptions!D29+$A19)))*(1+(Assumptions!E29+$A19)))*(1+(Assumptions!F29+$A19)))*(1+(Assumptions!G29+$A19)))*Assumptions!G30)-((((((('Income Statement'!D6*(1+(Assumptions!C29+$A19)))*(1+(Assumptions!D29+$A19)))*(1+(Assumptions!E29+$A19)))*(1+(Assumptions!F29+$A19)))*(1+(Assumptions!G29+$A19)))*(Assumptions!G31+B$18))+((((((('Income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Statement'!D6*(1+(Assumptions!C29+$A19)))*(1+(Assumptions!D29+$A19)))*(1+(Assumptions!E29+$A19)))*(1+(Assumptions!F29+$A19)))*(1+(Assumptions!G29+$A19)))*(Assumptions!G31+B$18))+((((((('Income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Statement'!D6*(1+(Assumptions!C29+$A19)))*(1+(Assumptions!D29+$A19)))*(1+(Assumptions!E29+$A19)))*(1+(Assumptions!F29+$A19)))*Assumptions!F46))))*(1+Assumptions!$C$61)/(Assumptions!$C$60-Assumptions!$C$61))/(1+Assumptions!$C$60)^5))-Assumptions!$C$25)/Assumptions!$C$21</f>
        <v>4.44641086670812</v>
      </c>
      <c r="C19" s="59" t="n">
        <f aca="false">((((((((('Income Statement'!D6*(1+(Assumptions!C29+$A19)))*Assumptions!C30)-((('Income Statement'!D6*(1+(Assumptions!C29+$A19)))*(Assumptions!C31+C$18))+((('Income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Statement'!D6*(1+(Assumptions!C29+$A19)))*Assumptions!C30)*Assumptions!C38))-MAX(((('Income Statement'!D6*(1+(Assumptions!C29+$A19)))*Assumptions!C30)-((('Income Statement'!D6*(1+(Assumptions!C29+$A19)))*(Assumptions!C31+C$18))+((('Income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Statement'!D6*(1+(Assumptions!C29+$A19)))*Assumptions!C30)*Assumptions!C38)),0)*Assumptions!C42)+((('Income Statement'!D6*(1+(Assumptions!C29+$A19)))*Assumptions!C30)*Assumptions!C38)-((('Income Statement'!D6*(1+(Assumptions!C29+$A19)))*Assumptions!C30)*Assumptions!C43)-(Assumptions!C44*((('Income Statement'!D6*(1+(Assumptions!C29+$A19)))*Assumptions!C30)-'Income Statement'!D9))-(Assumptions!C48*((('Income Statement'!D6*(1+(Assumptions!C29+$A19)))*Assumptions!C46)-'Balance Sheet'!D6)))/(1+Assumptions!$C$60)^0.5)+((((((('Income Statement'!D6*(1+(Assumptions!C29+$A19)))*(1+(Assumptions!D29+$A19)))*Assumptions!D30)-(((('Income Statement'!D6*(1+(Assumptions!C29+$A19)))*(1+(Assumptions!D29+$A19)))*(Assumptions!D31+C$18))+(((('Income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Statement'!D6*(1+(Assumptions!C29+$A19)))*(1+(Assumptions!D29+$A19)))*Assumptions!D30)*Assumptions!D38))-MAX((((('Income Statement'!D6*(1+(Assumptions!C29+$A19)))*(1+(Assumptions!D29+$A19)))*Assumptions!D30)-(((('Income Statement'!D6*(1+(Assumptions!C29+$A19)))*(1+(Assumptions!D29+$A19)))*(Assumptions!D31+C$18))+(((('Income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Statement'!D6*(1+(Assumptions!C29+$A19)))*(1+(Assumptions!D29+$A19)))*Assumptions!D30)*Assumptions!D38)),0)*Assumptions!D42)+(((('Income Statement'!D6*(1+(Assumptions!C29+$A19)))*(1+(Assumptions!D29+$A19)))*Assumptions!D30)*Assumptions!D38)-(((('Income Statement'!D6*(1+(Assumptions!C29+$A19)))*(1+(Assumptions!D29+$A19)))*Assumptions!D30)*Assumptions!D43)-(Assumptions!D44*(((('Income Statement'!D6*(1+(Assumptions!C29+$A19)))*(1+(Assumptions!D29+$A19)))*Assumptions!D30)-(('Income Statement'!D6*(1+(Assumptions!C29+$A19)))*Assumptions!C30)))-(Assumptions!D48*(((('Income Statement'!D6*(1+(Assumptions!C29+$A19)))*(1+(Assumptions!D29+$A19)))*Assumptions!D46)-(('Income Statement'!D6*(1+(Assumptions!C29+$A19)))*Assumptions!C46))))/(1+Assumptions!$C$60)^1.5)+(((((((('Income Statement'!D6*(1+(Assumptions!C29+$A19)))*(1+(Assumptions!D29+$A19)))*(1+(Assumptions!E29+$A19)))*Assumptions!E30)-((((('Income Statement'!D6*(1+(Assumptions!C29+$A19)))*(1+(Assumptions!D29+$A19)))*(1+(Assumptions!E29+$A19)))*(Assumptions!E31+C$18))+((((('Income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Statement'!D6*(1+(Assumptions!C29+$A19)))*(1+(Assumptions!D29+$A19)))*(1+(Assumptions!E29+$A19)))*Assumptions!E30)*Assumptions!E38))-MAX(((((('Income Statement'!D6*(1+(Assumptions!C29+$A19)))*(1+(Assumptions!D29+$A19)))*(1+(Assumptions!E29+$A19)))*Assumptions!E30)-((((('Income Statement'!D6*(1+(Assumptions!C29+$A19)))*(1+(Assumptions!D29+$A19)))*(1+(Assumptions!E29+$A19)))*(Assumptions!E31+C$18))+((((('Income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Statement'!D6*(1+(Assumptions!C29+$A19)))*(1+(Assumptions!D29+$A19)))*(1+(Assumptions!E29+$A19)))*Assumptions!E30)*Assumptions!E38)),0)*Assumptions!E42)+((((('Income Statement'!D6*(1+(Assumptions!C29+$A19)))*(1+(Assumptions!D29+$A19)))*(1+(Assumptions!E29+$A19)))*Assumptions!E30)*Assumptions!E38)-((((('Income Statement'!D6*(1+(Assumptions!C29+$A19)))*(1+(Assumptions!D29+$A19)))*(1+(Assumptions!E29+$A19)))*Assumptions!E30)*Assumptions!E43)-(Assumptions!E44*((((('Income Statement'!D6*(1+(Assumptions!C29+$A19)))*(1+(Assumptions!D29+$A19)))*(1+(Assumptions!E29+$A19)))*Assumptions!E30)-((('Income Statement'!D6*(1+(Assumptions!C29+$A19)))*(1+(Assumptions!D29+$A19)))*Assumptions!D30)))-(Assumptions!E48*((((('Income Statement'!D6*(1+(Assumptions!C29+$A19)))*(1+(Assumptions!D29+$A19)))*(1+(Assumptions!E29+$A19)))*Assumptions!E46)-((('Income Statement'!D6*(1+(Assumptions!C29+$A19)))*(1+(Assumptions!D29+$A19)))*Assumptions!D46))))/(1+Assumptions!$C$60)^2.5)+((((((((('Income Statement'!D6*(1+(Assumptions!C29+$A19)))*(1+(Assumptions!D29+$A19)))*(1+(Assumptions!E29+$A19)))*(1+(Assumptions!F29+$A19)))*Assumptions!F30)-(((((('Income Statement'!D6*(1+(Assumptions!C29+$A19)))*(1+(Assumptions!D29+$A19)))*(1+(Assumptions!E29+$A19)))*(1+(Assumptions!F29+$A19)))*(Assumptions!F31+C$18))+(((((('Income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Statement'!D6*(1+(Assumptions!C29+$A19)))*(1+(Assumptions!D29+$A19)))*(1+(Assumptions!E29+$A19)))*(1+(Assumptions!F29+$A19)))*Assumptions!F30)*Assumptions!F38))-MAX((((((('Income Statement'!D6*(1+(Assumptions!C29+$A19)))*(1+(Assumptions!D29+$A19)))*(1+(Assumptions!E29+$A19)))*(1+(Assumptions!F29+$A19)))*Assumptions!F30)-(((((('Income Statement'!D6*(1+(Assumptions!C29+$A19)))*(1+(Assumptions!D29+$A19)))*(1+(Assumptions!E29+$A19)))*(1+(Assumptions!F29+$A19)))*(Assumptions!F31+C$18))+(((((('Income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Statement'!D6*(1+(Assumptions!C29+$A19)))*(1+(Assumptions!D29+$A19)))*(1+(Assumptions!E29+$A19)))*(1+(Assumptions!F29+$A19)))*Assumptions!F30)*Assumptions!F38)),0)*Assumptions!F42)+(((((('Income Statement'!D6*(1+(Assumptions!C29+$A19)))*(1+(Assumptions!D29+$A19)))*(1+(Assumptions!E29+$A19)))*(1+(Assumptions!F29+$A19)))*Assumptions!F30)*Assumptions!F38)-(((((('Income Statement'!D6*(1+(Assumptions!C29+$A19)))*(1+(Assumptions!D29+$A19)))*(1+(Assumptions!E29+$A19)))*(1+(Assumptions!F29+$A19)))*Assumptions!F30)*Assumptions!F43)-(Assumptions!F44*(((((('Income Statement'!D6*(1+(Assumptions!C29+$A19)))*(1+(Assumptions!D29+$A19)))*(1+(Assumptions!E29+$A19)))*(1+(Assumptions!F29+$A19)))*Assumptions!F30)-(((('Income Statement'!D6*(1+(Assumptions!C29+$A19)))*(1+(Assumptions!D29+$A19)))*(1+(Assumptions!E29+$A19)))*Assumptions!E30)))-(Assumptions!F48*(((((('Income Statement'!D6*(1+(Assumptions!C29+$A19)))*(1+(Assumptions!D29+$A19)))*(1+(Assumptions!E29+$A19)))*(1+(Assumptions!F29+$A19)))*Assumptions!F46)-(((('Income Statement'!D6*(1+(Assumptions!C29+$A19)))*(1+(Assumptions!D29+$A19)))*(1+(Assumptions!E29+$A19)))*Assumptions!E46))))/(1+Assumptions!$C$60)^3.5)+(((((((((('Income Statement'!D6*(1+(Assumptions!C29+$A19)))*(1+(Assumptions!D29+$A19)))*(1+(Assumptions!E29+$A19)))*(1+(Assumptions!F29+$A19)))*(1+(Assumptions!G29+$A19)))*Assumptions!G30)-((((((('Income Statement'!D6*(1+(Assumptions!C29+$A19)))*(1+(Assumptions!D29+$A19)))*(1+(Assumptions!E29+$A19)))*(1+(Assumptions!F29+$A19)))*(1+(Assumptions!G29+$A19)))*(Assumptions!G31+C$18))+((((((('Income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Statement'!D6*(1+(Assumptions!C29+$A19)))*(1+(Assumptions!D29+$A19)))*(1+(Assumptions!E29+$A19)))*(1+(Assumptions!F29+$A19)))*(1+(Assumptions!G29+$A19)))*(Assumptions!G31+C$18))+((((((('Income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Statement'!D6*(1+(Assumptions!C29+$A19)))*(1+(Assumptions!D29+$A19)))*(1+(Assumptions!E29+$A19)))*(1+(Assumptions!F29+$A19)))*Assumptions!F46))))/(1+Assumptions!$C$60)^4.5))+((((((((((('Income Statement'!D6*(1+(Assumptions!C29+$A19)))*(1+(Assumptions!D29+$A19)))*(1+(Assumptions!E29+$A19)))*(1+(Assumptions!F29+$A19)))*(1+(Assumptions!G29+$A19)))*Assumptions!G30)-((((((('Income Statement'!D6*(1+(Assumptions!C29+$A19)))*(1+(Assumptions!D29+$A19)))*(1+(Assumptions!E29+$A19)))*(1+(Assumptions!F29+$A19)))*(1+(Assumptions!G29+$A19)))*(Assumptions!G31+C$18))+((((((('Income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Statement'!D6*(1+(Assumptions!C29+$A19)))*(1+(Assumptions!D29+$A19)))*(1+(Assumptions!E29+$A19)))*(1+(Assumptions!F29+$A19)))*(1+(Assumptions!G29+$A19)))*(Assumptions!G31+C$18))+((((((('Income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Statement'!D6*(1+(Assumptions!C29+$A19)))*(1+(Assumptions!D29+$A19)))*(1+(Assumptions!E29+$A19)))*(1+(Assumptions!F29+$A19)))*Assumptions!F46))))*(1+Assumptions!$C$61)/(Assumptions!$C$60-Assumptions!$C$61))/(1+Assumptions!$C$60)^5))-Assumptions!$C$25)/Assumptions!$C$21</f>
        <v>12.3250507374157</v>
      </c>
      <c r="D19" s="59" t="n">
        <f aca="false">((((((((('Income Statement'!D6*(1+(Assumptions!C29+$A19)))*Assumptions!C30)-((('Income Statement'!D6*(1+(Assumptions!C29+$A19)))*(Assumptions!C31+D$18))+((('Income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Statement'!D6*(1+(Assumptions!C29+$A19)))*Assumptions!C30)*Assumptions!C38))-MAX(((('Income Statement'!D6*(1+(Assumptions!C29+$A19)))*Assumptions!C30)-((('Income Statement'!D6*(1+(Assumptions!C29+$A19)))*(Assumptions!C31+D$18))+((('Income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Statement'!D6*(1+(Assumptions!C29+$A19)))*Assumptions!C30)*Assumptions!C38)),0)*Assumptions!C42)+((('Income Statement'!D6*(1+(Assumptions!C29+$A19)))*Assumptions!C30)*Assumptions!C38)-((('Income Statement'!D6*(1+(Assumptions!C29+$A19)))*Assumptions!C30)*Assumptions!C43)-(Assumptions!C44*((('Income Statement'!D6*(1+(Assumptions!C29+$A19)))*Assumptions!C30)-'Income Statement'!D9))-(Assumptions!C48*((('Income Statement'!D6*(1+(Assumptions!C29+$A19)))*Assumptions!C46)-'Balance Sheet'!D6)))/(1+Assumptions!$C$60)^0.5)+((((((('Income Statement'!D6*(1+(Assumptions!C29+$A19)))*(1+(Assumptions!D29+$A19)))*Assumptions!D30)-(((('Income Statement'!D6*(1+(Assumptions!C29+$A19)))*(1+(Assumptions!D29+$A19)))*(Assumptions!D31+D$18))+(((('Income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Statement'!D6*(1+(Assumptions!C29+$A19)))*(1+(Assumptions!D29+$A19)))*Assumptions!D30)*Assumptions!D38))-MAX((((('Income Statement'!D6*(1+(Assumptions!C29+$A19)))*(1+(Assumptions!D29+$A19)))*Assumptions!D30)-(((('Income Statement'!D6*(1+(Assumptions!C29+$A19)))*(1+(Assumptions!D29+$A19)))*(Assumptions!D31+D$18))+(((('Income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Statement'!D6*(1+(Assumptions!C29+$A19)))*(1+(Assumptions!D29+$A19)))*Assumptions!D30)*Assumptions!D38)),0)*Assumptions!D42)+(((('Income Statement'!D6*(1+(Assumptions!C29+$A19)))*(1+(Assumptions!D29+$A19)))*Assumptions!D30)*Assumptions!D38)-(((('Income Statement'!D6*(1+(Assumptions!C29+$A19)))*(1+(Assumptions!D29+$A19)))*Assumptions!D30)*Assumptions!D43)-(Assumptions!D44*(((('Income Statement'!D6*(1+(Assumptions!C29+$A19)))*(1+(Assumptions!D29+$A19)))*Assumptions!D30)-(('Income Statement'!D6*(1+(Assumptions!C29+$A19)))*Assumptions!C30)))-(Assumptions!D48*(((('Income Statement'!D6*(1+(Assumptions!C29+$A19)))*(1+(Assumptions!D29+$A19)))*Assumptions!D46)-(('Income Statement'!D6*(1+(Assumptions!C29+$A19)))*Assumptions!C46))))/(1+Assumptions!$C$60)^1.5)+(((((((('Income Statement'!D6*(1+(Assumptions!C29+$A19)))*(1+(Assumptions!D29+$A19)))*(1+(Assumptions!E29+$A19)))*Assumptions!E30)-((((('Income Statement'!D6*(1+(Assumptions!C29+$A19)))*(1+(Assumptions!D29+$A19)))*(1+(Assumptions!E29+$A19)))*(Assumptions!E31+D$18))+((((('Income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Statement'!D6*(1+(Assumptions!C29+$A19)))*(1+(Assumptions!D29+$A19)))*(1+(Assumptions!E29+$A19)))*Assumptions!E30)*Assumptions!E38))-MAX(((((('Income Statement'!D6*(1+(Assumptions!C29+$A19)))*(1+(Assumptions!D29+$A19)))*(1+(Assumptions!E29+$A19)))*Assumptions!E30)-((((('Income Statement'!D6*(1+(Assumptions!C29+$A19)))*(1+(Assumptions!D29+$A19)))*(1+(Assumptions!E29+$A19)))*(Assumptions!E31+D$18))+((((('Income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Statement'!D6*(1+(Assumptions!C29+$A19)))*(1+(Assumptions!D29+$A19)))*(1+(Assumptions!E29+$A19)))*Assumptions!E30)*Assumptions!E38)),0)*Assumptions!E42)+((((('Income Statement'!D6*(1+(Assumptions!C29+$A19)))*(1+(Assumptions!D29+$A19)))*(1+(Assumptions!E29+$A19)))*Assumptions!E30)*Assumptions!E38)-((((('Income Statement'!D6*(1+(Assumptions!C29+$A19)))*(1+(Assumptions!D29+$A19)))*(1+(Assumptions!E29+$A19)))*Assumptions!E30)*Assumptions!E43)-(Assumptions!E44*((((('Income Statement'!D6*(1+(Assumptions!C29+$A19)))*(1+(Assumptions!D29+$A19)))*(1+(Assumptions!E29+$A19)))*Assumptions!E30)-((('Income Statement'!D6*(1+(Assumptions!C29+$A19)))*(1+(Assumptions!D29+$A19)))*Assumptions!D30)))-(Assumptions!E48*((((('Income Statement'!D6*(1+(Assumptions!C29+$A19)))*(1+(Assumptions!D29+$A19)))*(1+(Assumptions!E29+$A19)))*Assumptions!E46)-((('Income Statement'!D6*(1+(Assumptions!C29+$A19)))*(1+(Assumptions!D29+$A19)))*Assumptions!D46))))/(1+Assumptions!$C$60)^2.5)+((((((((('Income Statement'!D6*(1+(Assumptions!C29+$A19)))*(1+(Assumptions!D29+$A19)))*(1+(Assumptions!E29+$A19)))*(1+(Assumptions!F29+$A19)))*Assumptions!F30)-(((((('Income Statement'!D6*(1+(Assumptions!C29+$A19)))*(1+(Assumptions!D29+$A19)))*(1+(Assumptions!E29+$A19)))*(1+(Assumptions!F29+$A19)))*(Assumptions!F31+D$18))+(((((('Income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Statement'!D6*(1+(Assumptions!C29+$A19)))*(1+(Assumptions!D29+$A19)))*(1+(Assumptions!E29+$A19)))*(1+(Assumptions!F29+$A19)))*Assumptions!F30)*Assumptions!F38))-MAX((((((('Income Statement'!D6*(1+(Assumptions!C29+$A19)))*(1+(Assumptions!D29+$A19)))*(1+(Assumptions!E29+$A19)))*(1+(Assumptions!F29+$A19)))*Assumptions!F30)-(((((('Income Statement'!D6*(1+(Assumptions!C29+$A19)))*(1+(Assumptions!D29+$A19)))*(1+(Assumptions!E29+$A19)))*(1+(Assumptions!F29+$A19)))*(Assumptions!F31+D$18))+(((((('Income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Statement'!D6*(1+(Assumptions!C29+$A19)))*(1+(Assumptions!D29+$A19)))*(1+(Assumptions!E29+$A19)))*(1+(Assumptions!F29+$A19)))*Assumptions!F30)*Assumptions!F38)),0)*Assumptions!F42)+(((((('Income Statement'!D6*(1+(Assumptions!C29+$A19)))*(1+(Assumptions!D29+$A19)))*(1+(Assumptions!E29+$A19)))*(1+(Assumptions!F29+$A19)))*Assumptions!F30)*Assumptions!F38)-(((((('Income Statement'!D6*(1+(Assumptions!C29+$A19)))*(1+(Assumptions!D29+$A19)))*(1+(Assumptions!E29+$A19)))*(1+(Assumptions!F29+$A19)))*Assumptions!F30)*Assumptions!F43)-(Assumptions!F44*(((((('Income Statement'!D6*(1+(Assumptions!C29+$A19)))*(1+(Assumptions!D29+$A19)))*(1+(Assumptions!E29+$A19)))*(1+(Assumptions!F29+$A19)))*Assumptions!F30)-(((('Income Statement'!D6*(1+(Assumptions!C29+$A19)))*(1+(Assumptions!D29+$A19)))*(1+(Assumptions!E29+$A19)))*Assumptions!E30)))-(Assumptions!F48*(((((('Income Statement'!D6*(1+(Assumptions!C29+$A19)))*(1+(Assumptions!D29+$A19)))*(1+(Assumptions!E29+$A19)))*(1+(Assumptions!F29+$A19)))*Assumptions!F46)-(((('Income Statement'!D6*(1+(Assumptions!C29+$A19)))*(1+(Assumptions!D29+$A19)))*(1+(Assumptions!E29+$A19)))*Assumptions!E46))))/(1+Assumptions!$C$60)^3.5)+(((((((((('Income Statement'!D6*(1+(Assumptions!C29+$A19)))*(1+(Assumptions!D29+$A19)))*(1+(Assumptions!E29+$A19)))*(1+(Assumptions!F29+$A19)))*(1+(Assumptions!G29+$A19)))*Assumptions!G30)-((((((('Income Statement'!D6*(1+(Assumptions!C29+$A19)))*(1+(Assumptions!D29+$A19)))*(1+(Assumptions!E29+$A19)))*(1+(Assumptions!F29+$A19)))*(1+(Assumptions!G29+$A19)))*(Assumptions!G31+D$18))+((((((('Income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Statement'!D6*(1+(Assumptions!C29+$A19)))*(1+(Assumptions!D29+$A19)))*(1+(Assumptions!E29+$A19)))*(1+(Assumptions!F29+$A19)))*(1+(Assumptions!G29+$A19)))*(Assumptions!G31+D$18))+((((((('Income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Statement'!D6*(1+(Assumptions!C29+$A19)))*(1+(Assumptions!D29+$A19)))*(1+(Assumptions!E29+$A19)))*(1+(Assumptions!F29+$A19)))*Assumptions!F46))))/(1+Assumptions!$C$60)^4.5))+((((((((((('Income Statement'!D6*(1+(Assumptions!C29+$A19)))*(1+(Assumptions!D29+$A19)))*(1+(Assumptions!E29+$A19)))*(1+(Assumptions!F29+$A19)))*(1+(Assumptions!G29+$A19)))*Assumptions!G30)-((((((('Income Statement'!D6*(1+(Assumptions!C29+$A19)))*(1+(Assumptions!D29+$A19)))*(1+(Assumptions!E29+$A19)))*(1+(Assumptions!F29+$A19)))*(1+(Assumptions!G29+$A19)))*(Assumptions!G31+D$18))+((((((('Income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Statement'!D6*(1+(Assumptions!C29+$A19)))*(1+(Assumptions!D29+$A19)))*(1+(Assumptions!E29+$A19)))*(1+(Assumptions!F29+$A19)))*(1+(Assumptions!G29+$A19)))*(Assumptions!G31+D$18))+((((((('Income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Statement'!D6*(1+(Assumptions!C29+$A19)))*(1+(Assumptions!D29+$A19)))*(1+(Assumptions!E29+$A19)))*(1+(Assumptions!F29+$A19)))*Assumptions!F46))))*(1+Assumptions!$C$61)/(Assumptions!$C$60-Assumptions!$C$61))/(1+Assumptions!$C$60)^5))-Assumptions!$C$25)/Assumptions!$C$21</f>
        <v>19.9689492929793</v>
      </c>
      <c r="E19" s="59" t="n">
        <f aca="false">((((((((('Income Statement'!D6*(1+(Assumptions!C29+$A19)))*Assumptions!C30)-((('Income Statement'!D6*(1+(Assumptions!C29+$A19)))*(Assumptions!C31+E$18))+((('Income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Statement'!D6*(1+(Assumptions!C29+$A19)))*Assumptions!C30)*Assumptions!C38))-MAX(((('Income Statement'!D6*(1+(Assumptions!C29+$A19)))*Assumptions!C30)-((('Income Statement'!D6*(1+(Assumptions!C29+$A19)))*(Assumptions!C31+E$18))+((('Income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Statement'!D6*(1+(Assumptions!C29+$A19)))*Assumptions!C30)*Assumptions!C38)),0)*Assumptions!C42)+((('Income Statement'!D6*(1+(Assumptions!C29+$A19)))*Assumptions!C30)*Assumptions!C38)-((('Income Statement'!D6*(1+(Assumptions!C29+$A19)))*Assumptions!C30)*Assumptions!C43)-(Assumptions!C44*((('Income Statement'!D6*(1+(Assumptions!C29+$A19)))*Assumptions!C30)-'Income Statement'!D9))-(Assumptions!C48*((('Income Statement'!D6*(1+(Assumptions!C29+$A19)))*Assumptions!C46)-'Balance Sheet'!D6)))/(1+Assumptions!$C$60)^0.5)+((((((('Income Statement'!D6*(1+(Assumptions!C29+$A19)))*(1+(Assumptions!D29+$A19)))*Assumptions!D30)-(((('Income Statement'!D6*(1+(Assumptions!C29+$A19)))*(1+(Assumptions!D29+$A19)))*(Assumptions!D31+E$18))+(((('Income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Statement'!D6*(1+(Assumptions!C29+$A19)))*(1+(Assumptions!D29+$A19)))*Assumptions!D30)*Assumptions!D38))-MAX((((('Income Statement'!D6*(1+(Assumptions!C29+$A19)))*(1+(Assumptions!D29+$A19)))*Assumptions!D30)-(((('Income Statement'!D6*(1+(Assumptions!C29+$A19)))*(1+(Assumptions!D29+$A19)))*(Assumptions!D31+E$18))+(((('Income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Statement'!D6*(1+(Assumptions!C29+$A19)))*(1+(Assumptions!D29+$A19)))*Assumptions!D30)*Assumptions!D38)),0)*Assumptions!D42)+(((('Income Statement'!D6*(1+(Assumptions!C29+$A19)))*(1+(Assumptions!D29+$A19)))*Assumptions!D30)*Assumptions!D38)-(((('Income Statement'!D6*(1+(Assumptions!C29+$A19)))*(1+(Assumptions!D29+$A19)))*Assumptions!D30)*Assumptions!D43)-(Assumptions!D44*(((('Income Statement'!D6*(1+(Assumptions!C29+$A19)))*(1+(Assumptions!D29+$A19)))*Assumptions!D30)-(('Income Statement'!D6*(1+(Assumptions!C29+$A19)))*Assumptions!C30)))-(Assumptions!D48*(((('Income Statement'!D6*(1+(Assumptions!C29+$A19)))*(1+(Assumptions!D29+$A19)))*Assumptions!D46)-(('Income Statement'!D6*(1+(Assumptions!C29+$A19)))*Assumptions!C46))))/(1+Assumptions!$C$60)^1.5)+(((((((('Income Statement'!D6*(1+(Assumptions!C29+$A19)))*(1+(Assumptions!D29+$A19)))*(1+(Assumptions!E29+$A19)))*Assumptions!E30)-((((('Income Statement'!D6*(1+(Assumptions!C29+$A19)))*(1+(Assumptions!D29+$A19)))*(1+(Assumptions!E29+$A19)))*(Assumptions!E31+E$18))+((((('Income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Statement'!D6*(1+(Assumptions!C29+$A19)))*(1+(Assumptions!D29+$A19)))*(1+(Assumptions!E29+$A19)))*Assumptions!E30)*Assumptions!E38))-MAX(((((('Income Statement'!D6*(1+(Assumptions!C29+$A19)))*(1+(Assumptions!D29+$A19)))*(1+(Assumptions!E29+$A19)))*Assumptions!E30)-((((('Income Statement'!D6*(1+(Assumptions!C29+$A19)))*(1+(Assumptions!D29+$A19)))*(1+(Assumptions!E29+$A19)))*(Assumptions!E31+E$18))+((((('Income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Statement'!D6*(1+(Assumptions!C29+$A19)))*(1+(Assumptions!D29+$A19)))*(1+(Assumptions!E29+$A19)))*Assumptions!E30)*Assumptions!E38)),0)*Assumptions!E42)+((((('Income Statement'!D6*(1+(Assumptions!C29+$A19)))*(1+(Assumptions!D29+$A19)))*(1+(Assumptions!E29+$A19)))*Assumptions!E30)*Assumptions!E38)-((((('Income Statement'!D6*(1+(Assumptions!C29+$A19)))*(1+(Assumptions!D29+$A19)))*(1+(Assumptions!E29+$A19)))*Assumptions!E30)*Assumptions!E43)-(Assumptions!E44*((((('Income Statement'!D6*(1+(Assumptions!C29+$A19)))*(1+(Assumptions!D29+$A19)))*(1+(Assumptions!E29+$A19)))*Assumptions!E30)-((('Income Statement'!D6*(1+(Assumptions!C29+$A19)))*(1+(Assumptions!D29+$A19)))*Assumptions!D30)))-(Assumptions!E48*((((('Income Statement'!D6*(1+(Assumptions!C29+$A19)))*(1+(Assumptions!D29+$A19)))*(1+(Assumptions!E29+$A19)))*Assumptions!E46)-((('Income Statement'!D6*(1+(Assumptions!C29+$A19)))*(1+(Assumptions!D29+$A19)))*Assumptions!D46))))/(1+Assumptions!$C$60)^2.5)+((((((((('Income Statement'!D6*(1+(Assumptions!C29+$A19)))*(1+(Assumptions!D29+$A19)))*(1+(Assumptions!E29+$A19)))*(1+(Assumptions!F29+$A19)))*Assumptions!F30)-(((((('Income Statement'!D6*(1+(Assumptions!C29+$A19)))*(1+(Assumptions!D29+$A19)))*(1+(Assumptions!E29+$A19)))*(1+(Assumptions!F29+$A19)))*(Assumptions!F31+E$18))+(((((('Income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Statement'!D6*(1+(Assumptions!C29+$A19)))*(1+(Assumptions!D29+$A19)))*(1+(Assumptions!E29+$A19)))*(1+(Assumptions!F29+$A19)))*Assumptions!F30)*Assumptions!F38))-MAX((((((('Income Statement'!D6*(1+(Assumptions!C29+$A19)))*(1+(Assumptions!D29+$A19)))*(1+(Assumptions!E29+$A19)))*(1+(Assumptions!F29+$A19)))*Assumptions!F30)-(((((('Income Statement'!D6*(1+(Assumptions!C29+$A19)))*(1+(Assumptions!D29+$A19)))*(1+(Assumptions!E29+$A19)))*(1+(Assumptions!F29+$A19)))*(Assumptions!F31+E$18))+(((((('Income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Statement'!D6*(1+(Assumptions!C29+$A19)))*(1+(Assumptions!D29+$A19)))*(1+(Assumptions!E29+$A19)))*(1+(Assumptions!F29+$A19)))*Assumptions!F30)*Assumptions!F38)),0)*Assumptions!F42)+(((((('Income Statement'!D6*(1+(Assumptions!C29+$A19)))*(1+(Assumptions!D29+$A19)))*(1+(Assumptions!E29+$A19)))*(1+(Assumptions!F29+$A19)))*Assumptions!F30)*Assumptions!F38)-(((((('Income Statement'!D6*(1+(Assumptions!C29+$A19)))*(1+(Assumptions!D29+$A19)))*(1+(Assumptions!E29+$A19)))*(1+(Assumptions!F29+$A19)))*Assumptions!F30)*Assumptions!F43)-(Assumptions!F44*(((((('Income Statement'!D6*(1+(Assumptions!C29+$A19)))*(1+(Assumptions!D29+$A19)))*(1+(Assumptions!E29+$A19)))*(1+(Assumptions!F29+$A19)))*Assumptions!F30)-(((('Income Statement'!D6*(1+(Assumptions!C29+$A19)))*(1+(Assumptions!D29+$A19)))*(1+(Assumptions!E29+$A19)))*Assumptions!E30)))-(Assumptions!F48*(((((('Income Statement'!D6*(1+(Assumptions!C29+$A19)))*(1+(Assumptions!D29+$A19)))*(1+(Assumptions!E29+$A19)))*(1+(Assumptions!F29+$A19)))*Assumptions!F46)-(((('Income Statement'!D6*(1+(Assumptions!C29+$A19)))*(1+(Assumptions!D29+$A19)))*(1+(Assumptions!E29+$A19)))*Assumptions!E46))))/(1+Assumptions!$C$60)^3.5)+(((((((((('Income Statement'!D6*(1+(Assumptions!C29+$A19)))*(1+(Assumptions!D29+$A19)))*(1+(Assumptions!E29+$A19)))*(1+(Assumptions!F29+$A19)))*(1+(Assumptions!G29+$A19)))*Assumptions!G30)-((((((('Income Statement'!D6*(1+(Assumptions!C29+$A19)))*(1+(Assumptions!D29+$A19)))*(1+(Assumptions!E29+$A19)))*(1+(Assumptions!F29+$A19)))*(1+(Assumptions!G29+$A19)))*(Assumptions!G31+E$18))+((((((('Income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Statement'!D6*(1+(Assumptions!C29+$A19)))*(1+(Assumptions!D29+$A19)))*(1+(Assumptions!E29+$A19)))*(1+(Assumptions!F29+$A19)))*(1+(Assumptions!G29+$A19)))*(Assumptions!G31+E$18))+((((((('Income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Statement'!D6*(1+(Assumptions!C29+$A19)))*(1+(Assumptions!D29+$A19)))*(1+(Assumptions!E29+$A19)))*(1+(Assumptions!F29+$A19)))*Assumptions!F46))))/(1+Assumptions!$C$60)^4.5))+((((((((((('Income Statement'!D6*(1+(Assumptions!C29+$A19)))*(1+(Assumptions!D29+$A19)))*(1+(Assumptions!E29+$A19)))*(1+(Assumptions!F29+$A19)))*(1+(Assumptions!G29+$A19)))*Assumptions!G30)-((((((('Income Statement'!D6*(1+(Assumptions!C29+$A19)))*(1+(Assumptions!D29+$A19)))*(1+(Assumptions!E29+$A19)))*(1+(Assumptions!F29+$A19)))*(1+(Assumptions!G29+$A19)))*(Assumptions!G31+E$18))+((((((('Income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Statement'!D6*(1+(Assumptions!C29+$A19)))*(1+(Assumptions!D29+$A19)))*(1+(Assumptions!E29+$A19)))*(1+(Assumptions!F29+$A19)))*(1+(Assumptions!G29+$A19)))*(Assumptions!G31+E$18))+((((((('Income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Statement'!D6*(1+(Assumptions!C29+$A19)))*(1+(Assumptions!D29+$A19)))*(1+(Assumptions!E29+$A19)))*(1+(Assumptions!F29+$A19)))*Assumptions!F46))))*(1+Assumptions!$C$61)/(Assumptions!$C$60-Assumptions!$C$61))/(1+Assumptions!$C$60)^5))-Assumptions!$C$25)/Assumptions!$C$21</f>
        <v>27.5525842286573</v>
      </c>
      <c r="F19" s="59" t="n">
        <f aca="false">((((((((('Income Statement'!D6*(1+(Assumptions!C29+$A19)))*Assumptions!C30)-((('Income Statement'!D6*(1+(Assumptions!C29+$A19)))*(Assumptions!C31+F$18))+((('Income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Statement'!D6*(1+(Assumptions!C29+$A19)))*Assumptions!C30)*Assumptions!C38))-MAX(((('Income Statement'!D6*(1+(Assumptions!C29+$A19)))*Assumptions!C30)-((('Income Statement'!D6*(1+(Assumptions!C29+$A19)))*(Assumptions!C31+F$18))+((('Income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Statement'!D6*(1+(Assumptions!C29+$A19)))*Assumptions!C30)*Assumptions!C38)),0)*Assumptions!C42)+((('Income Statement'!D6*(1+(Assumptions!C29+$A19)))*Assumptions!C30)*Assumptions!C38)-((('Income Statement'!D6*(1+(Assumptions!C29+$A19)))*Assumptions!C30)*Assumptions!C43)-(Assumptions!C44*((('Income Statement'!D6*(1+(Assumptions!C29+$A19)))*Assumptions!C30)-'Income Statement'!D9))-(Assumptions!C48*((('Income Statement'!D6*(1+(Assumptions!C29+$A19)))*Assumptions!C46)-'Balance Sheet'!D6)))/(1+Assumptions!$C$60)^0.5)+((((((('Income Statement'!D6*(1+(Assumptions!C29+$A19)))*(1+(Assumptions!D29+$A19)))*Assumptions!D30)-(((('Income Statement'!D6*(1+(Assumptions!C29+$A19)))*(1+(Assumptions!D29+$A19)))*(Assumptions!D31+F$18))+(((('Income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Statement'!D6*(1+(Assumptions!C29+$A19)))*(1+(Assumptions!D29+$A19)))*Assumptions!D30)*Assumptions!D38))-MAX((((('Income Statement'!D6*(1+(Assumptions!C29+$A19)))*(1+(Assumptions!D29+$A19)))*Assumptions!D30)-(((('Income Statement'!D6*(1+(Assumptions!C29+$A19)))*(1+(Assumptions!D29+$A19)))*(Assumptions!D31+F$18))+(((('Income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Statement'!D6*(1+(Assumptions!C29+$A19)))*(1+(Assumptions!D29+$A19)))*Assumptions!D30)*Assumptions!D38)),0)*Assumptions!D42)+(((('Income Statement'!D6*(1+(Assumptions!C29+$A19)))*(1+(Assumptions!D29+$A19)))*Assumptions!D30)*Assumptions!D38)-(((('Income Statement'!D6*(1+(Assumptions!C29+$A19)))*(1+(Assumptions!D29+$A19)))*Assumptions!D30)*Assumptions!D43)-(Assumptions!D44*(((('Income Statement'!D6*(1+(Assumptions!C29+$A19)))*(1+(Assumptions!D29+$A19)))*Assumptions!D30)-(('Income Statement'!D6*(1+(Assumptions!C29+$A19)))*Assumptions!C30)))-(Assumptions!D48*(((('Income Statement'!D6*(1+(Assumptions!C29+$A19)))*(1+(Assumptions!D29+$A19)))*Assumptions!D46)-(('Income Statement'!D6*(1+(Assumptions!C29+$A19)))*Assumptions!C46))))/(1+Assumptions!$C$60)^1.5)+(((((((('Income Statement'!D6*(1+(Assumptions!C29+$A19)))*(1+(Assumptions!D29+$A19)))*(1+(Assumptions!E29+$A19)))*Assumptions!E30)-((((('Income Statement'!D6*(1+(Assumptions!C29+$A19)))*(1+(Assumptions!D29+$A19)))*(1+(Assumptions!E29+$A19)))*(Assumptions!E31+F$18))+((((('Income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Statement'!D6*(1+(Assumptions!C29+$A19)))*(1+(Assumptions!D29+$A19)))*(1+(Assumptions!E29+$A19)))*Assumptions!E30)*Assumptions!E38))-MAX(((((('Income Statement'!D6*(1+(Assumptions!C29+$A19)))*(1+(Assumptions!D29+$A19)))*(1+(Assumptions!E29+$A19)))*Assumptions!E30)-((((('Income Statement'!D6*(1+(Assumptions!C29+$A19)))*(1+(Assumptions!D29+$A19)))*(1+(Assumptions!E29+$A19)))*(Assumptions!E31+F$18))+((((('Income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Statement'!D6*(1+(Assumptions!C29+$A19)))*(1+(Assumptions!D29+$A19)))*(1+(Assumptions!E29+$A19)))*Assumptions!E30)*Assumptions!E38)),0)*Assumptions!E42)+((((('Income Statement'!D6*(1+(Assumptions!C29+$A19)))*(1+(Assumptions!D29+$A19)))*(1+(Assumptions!E29+$A19)))*Assumptions!E30)*Assumptions!E38)-((((('Income Statement'!D6*(1+(Assumptions!C29+$A19)))*(1+(Assumptions!D29+$A19)))*(1+(Assumptions!E29+$A19)))*Assumptions!E30)*Assumptions!E43)-(Assumptions!E44*((((('Income Statement'!D6*(1+(Assumptions!C29+$A19)))*(1+(Assumptions!D29+$A19)))*(1+(Assumptions!E29+$A19)))*Assumptions!E30)-((('Income Statement'!D6*(1+(Assumptions!C29+$A19)))*(1+(Assumptions!D29+$A19)))*Assumptions!D30)))-(Assumptions!E48*((((('Income Statement'!D6*(1+(Assumptions!C29+$A19)))*(1+(Assumptions!D29+$A19)))*(1+(Assumptions!E29+$A19)))*Assumptions!E46)-((('Income Statement'!D6*(1+(Assumptions!C29+$A19)))*(1+(Assumptions!D29+$A19)))*Assumptions!D46))))/(1+Assumptions!$C$60)^2.5)+((((((((('Income Statement'!D6*(1+(Assumptions!C29+$A19)))*(1+(Assumptions!D29+$A19)))*(1+(Assumptions!E29+$A19)))*(1+(Assumptions!F29+$A19)))*Assumptions!F30)-(((((('Income Statement'!D6*(1+(Assumptions!C29+$A19)))*(1+(Assumptions!D29+$A19)))*(1+(Assumptions!E29+$A19)))*(1+(Assumptions!F29+$A19)))*(Assumptions!F31+F$18))+(((((('Income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Statement'!D6*(1+(Assumptions!C29+$A19)))*(1+(Assumptions!D29+$A19)))*(1+(Assumptions!E29+$A19)))*(1+(Assumptions!F29+$A19)))*Assumptions!F30)*Assumptions!F38))-MAX((((((('Income Statement'!D6*(1+(Assumptions!C29+$A19)))*(1+(Assumptions!D29+$A19)))*(1+(Assumptions!E29+$A19)))*(1+(Assumptions!F29+$A19)))*Assumptions!F30)-(((((('Income Statement'!D6*(1+(Assumptions!C29+$A19)))*(1+(Assumptions!D29+$A19)))*(1+(Assumptions!E29+$A19)))*(1+(Assumptions!F29+$A19)))*(Assumptions!F31+F$18))+(((((('Income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Statement'!D6*(1+(Assumptions!C29+$A19)))*(1+(Assumptions!D29+$A19)))*(1+(Assumptions!E29+$A19)))*(1+(Assumptions!F29+$A19)))*Assumptions!F30)*Assumptions!F38)),0)*Assumptions!F42)+(((((('Income Statement'!D6*(1+(Assumptions!C29+$A19)))*(1+(Assumptions!D29+$A19)))*(1+(Assumptions!E29+$A19)))*(1+(Assumptions!F29+$A19)))*Assumptions!F30)*Assumptions!F38)-(((((('Income Statement'!D6*(1+(Assumptions!C29+$A19)))*(1+(Assumptions!D29+$A19)))*(1+(Assumptions!E29+$A19)))*(1+(Assumptions!F29+$A19)))*Assumptions!F30)*Assumptions!F43)-(Assumptions!F44*(((((('Income Statement'!D6*(1+(Assumptions!C29+$A19)))*(1+(Assumptions!D29+$A19)))*(1+(Assumptions!E29+$A19)))*(1+(Assumptions!F29+$A19)))*Assumptions!F30)-(((('Income Statement'!D6*(1+(Assumptions!C29+$A19)))*(1+(Assumptions!D29+$A19)))*(1+(Assumptions!E29+$A19)))*Assumptions!E30)))-(Assumptions!F48*(((((('Income Statement'!D6*(1+(Assumptions!C29+$A19)))*(1+(Assumptions!D29+$A19)))*(1+(Assumptions!E29+$A19)))*(1+(Assumptions!F29+$A19)))*Assumptions!F46)-(((('Income Statement'!D6*(1+(Assumptions!C29+$A19)))*(1+(Assumptions!D29+$A19)))*(1+(Assumptions!E29+$A19)))*Assumptions!E46))))/(1+Assumptions!$C$60)^3.5)+(((((((((('Income Statement'!D6*(1+(Assumptions!C29+$A19)))*(1+(Assumptions!D29+$A19)))*(1+(Assumptions!E29+$A19)))*(1+(Assumptions!F29+$A19)))*(1+(Assumptions!G29+$A19)))*Assumptions!G30)-((((((('Income Statement'!D6*(1+(Assumptions!C29+$A19)))*(1+(Assumptions!D29+$A19)))*(1+(Assumptions!E29+$A19)))*(1+(Assumptions!F29+$A19)))*(1+(Assumptions!G29+$A19)))*(Assumptions!G31+F$18))+((((((('Income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Statement'!D6*(1+(Assumptions!C29+$A19)))*(1+(Assumptions!D29+$A19)))*(1+(Assumptions!E29+$A19)))*(1+(Assumptions!F29+$A19)))*(1+(Assumptions!G29+$A19)))*(Assumptions!G31+F$18))+((((((('Income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Statement'!D6*(1+(Assumptions!C29+$A19)))*(1+(Assumptions!D29+$A19)))*(1+(Assumptions!E29+$A19)))*(1+(Assumptions!F29+$A19)))*Assumptions!F46))))/(1+Assumptions!$C$60)^4.5))+((((((((((('Income Statement'!D6*(1+(Assumptions!C29+$A19)))*(1+(Assumptions!D29+$A19)))*(1+(Assumptions!E29+$A19)))*(1+(Assumptions!F29+$A19)))*(1+(Assumptions!G29+$A19)))*Assumptions!G30)-((((((('Income Statement'!D6*(1+(Assumptions!C29+$A19)))*(1+(Assumptions!D29+$A19)))*(1+(Assumptions!E29+$A19)))*(1+(Assumptions!F29+$A19)))*(1+(Assumptions!G29+$A19)))*(Assumptions!G31+F$18))+((((((('Income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Statement'!D6*(1+(Assumptions!C29+$A19)))*(1+(Assumptions!D29+$A19)))*(1+(Assumptions!E29+$A19)))*(1+(Assumptions!F29+$A19)))*(1+(Assumptions!G29+$A19)))*(Assumptions!G31+F$18))+((((((('Income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Statement'!D6*(1+(Assumptions!C29+$A19)))*(1+(Assumptions!D29+$A19)))*(1+(Assumptions!E29+$A19)))*(1+(Assumptions!F29+$A19)))*Assumptions!F46))))*(1+Assumptions!$C$61)/(Assumptions!$C$60-Assumptions!$C$61))/(1+Assumptions!$C$60)^5))-Assumptions!$C$25)/Assumptions!$C$21</f>
        <v>35.1362191643353</v>
      </c>
    </row>
    <row r="20" customFormat="false" ht="15" hidden="false" customHeight="false" outlineLevel="0" collapsed="false">
      <c r="A20" s="74" t="n">
        <v>-0.03</v>
      </c>
      <c r="B20" s="59" t="n">
        <f aca="false">((((((((('Income Statement'!D6*(1+(Assumptions!C29+$A20)))*Assumptions!C30)-((('Income Statement'!D6*(1+(Assumptions!C29+$A20)))*(Assumptions!C31+B$18))+((('Income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Statement'!D6*(1+(Assumptions!C29+$A20)))*Assumptions!C30)*Assumptions!C38))-MAX(((('Income Statement'!D6*(1+(Assumptions!C29+$A20)))*Assumptions!C30)-((('Income Statement'!D6*(1+(Assumptions!C29+$A20)))*(Assumptions!C31+B$18))+((('Income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Statement'!D6*(1+(Assumptions!C29+$A20)))*Assumptions!C30)*Assumptions!C38)),0)*Assumptions!C42)+((('Income Statement'!D6*(1+(Assumptions!C29+$A20)))*Assumptions!C30)*Assumptions!C38)-((('Income Statement'!D6*(1+(Assumptions!C29+$A20)))*Assumptions!C30)*Assumptions!C43)-(Assumptions!C44*((('Income Statement'!D6*(1+(Assumptions!C29+$A20)))*Assumptions!C30)-'Income Statement'!D9))-(Assumptions!C48*((('Income Statement'!D6*(1+(Assumptions!C29+$A20)))*Assumptions!C46)-'Balance Sheet'!D6)))/(1+Assumptions!$C$60)^0.5)+((((((('Income Statement'!D6*(1+(Assumptions!C29+$A20)))*(1+(Assumptions!D29+$A20)))*Assumptions!D30)-(((('Income Statement'!D6*(1+(Assumptions!C29+$A20)))*(1+(Assumptions!D29+$A20)))*(Assumptions!D31+B$18))+(((('Income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Statement'!D6*(1+(Assumptions!C29+$A20)))*(1+(Assumptions!D29+$A20)))*Assumptions!D30)*Assumptions!D38))-MAX((((('Income Statement'!D6*(1+(Assumptions!C29+$A20)))*(1+(Assumptions!D29+$A20)))*Assumptions!D30)-(((('Income Statement'!D6*(1+(Assumptions!C29+$A20)))*(1+(Assumptions!D29+$A20)))*(Assumptions!D31+B$18))+(((('Income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Statement'!D6*(1+(Assumptions!C29+$A20)))*(1+(Assumptions!D29+$A20)))*Assumptions!D30)*Assumptions!D38)),0)*Assumptions!D42)+(((('Income Statement'!D6*(1+(Assumptions!C29+$A20)))*(1+(Assumptions!D29+$A20)))*Assumptions!D30)*Assumptions!D38)-(((('Income Statement'!D6*(1+(Assumptions!C29+$A20)))*(1+(Assumptions!D29+$A20)))*Assumptions!D30)*Assumptions!D43)-(Assumptions!D44*(((('Income Statement'!D6*(1+(Assumptions!C29+$A20)))*(1+(Assumptions!D29+$A20)))*Assumptions!D30)-(('Income Statement'!D6*(1+(Assumptions!C29+$A20)))*Assumptions!C30)))-(Assumptions!D48*(((('Income Statement'!D6*(1+(Assumptions!C29+$A20)))*(1+(Assumptions!D29+$A20)))*Assumptions!D46)-(('Income Statement'!D6*(1+(Assumptions!C29+$A20)))*Assumptions!C46))))/(1+Assumptions!$C$60)^1.5)+(((((((('Income Statement'!D6*(1+(Assumptions!C29+$A20)))*(1+(Assumptions!D29+$A20)))*(1+(Assumptions!E29+$A20)))*Assumptions!E30)-((((('Income Statement'!D6*(1+(Assumptions!C29+$A20)))*(1+(Assumptions!D29+$A20)))*(1+(Assumptions!E29+$A20)))*(Assumptions!E31+B$18))+((((('Income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Statement'!D6*(1+(Assumptions!C29+$A20)))*(1+(Assumptions!D29+$A20)))*(1+(Assumptions!E29+$A20)))*Assumptions!E30)*Assumptions!E38))-MAX(((((('Income Statement'!D6*(1+(Assumptions!C29+$A20)))*(1+(Assumptions!D29+$A20)))*(1+(Assumptions!E29+$A20)))*Assumptions!E30)-((((('Income Statement'!D6*(1+(Assumptions!C29+$A20)))*(1+(Assumptions!D29+$A20)))*(1+(Assumptions!E29+$A20)))*(Assumptions!E31+B$18))+((((('Income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Statement'!D6*(1+(Assumptions!C29+$A20)))*(1+(Assumptions!D29+$A20)))*(1+(Assumptions!E29+$A20)))*Assumptions!E30)*Assumptions!E38)),0)*Assumptions!E42)+((((('Income Statement'!D6*(1+(Assumptions!C29+$A20)))*(1+(Assumptions!D29+$A20)))*(1+(Assumptions!E29+$A20)))*Assumptions!E30)*Assumptions!E38)-((((('Income Statement'!D6*(1+(Assumptions!C29+$A20)))*(1+(Assumptions!D29+$A20)))*(1+(Assumptions!E29+$A20)))*Assumptions!E30)*Assumptions!E43)-(Assumptions!E44*((((('Income Statement'!D6*(1+(Assumptions!C29+$A20)))*(1+(Assumptions!D29+$A20)))*(1+(Assumptions!E29+$A20)))*Assumptions!E30)-((('Income Statement'!D6*(1+(Assumptions!C29+$A20)))*(1+(Assumptions!D29+$A20)))*Assumptions!D30)))-(Assumptions!E48*((((('Income Statement'!D6*(1+(Assumptions!C29+$A20)))*(1+(Assumptions!D29+$A20)))*(1+(Assumptions!E29+$A20)))*Assumptions!E46)-((('Income Statement'!D6*(1+(Assumptions!C29+$A20)))*(1+(Assumptions!D29+$A20)))*Assumptions!D46))))/(1+Assumptions!$C$60)^2.5)+((((((((('Income Statement'!D6*(1+(Assumptions!C29+$A20)))*(1+(Assumptions!D29+$A20)))*(1+(Assumptions!E29+$A20)))*(1+(Assumptions!F29+$A20)))*Assumptions!F30)-(((((('Income Statement'!D6*(1+(Assumptions!C29+$A20)))*(1+(Assumptions!D29+$A20)))*(1+(Assumptions!E29+$A20)))*(1+(Assumptions!F29+$A20)))*(Assumptions!F31+B$18))+(((((('Income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Statement'!D6*(1+(Assumptions!C29+$A20)))*(1+(Assumptions!D29+$A20)))*(1+(Assumptions!E29+$A20)))*(1+(Assumptions!F29+$A20)))*Assumptions!F30)*Assumptions!F38))-MAX((((((('Income Statement'!D6*(1+(Assumptions!C29+$A20)))*(1+(Assumptions!D29+$A20)))*(1+(Assumptions!E29+$A20)))*(1+(Assumptions!F29+$A20)))*Assumptions!F30)-(((((('Income Statement'!D6*(1+(Assumptions!C29+$A20)))*(1+(Assumptions!D29+$A20)))*(1+(Assumptions!E29+$A20)))*(1+(Assumptions!F29+$A20)))*(Assumptions!F31+B$18))+(((((('Income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Statement'!D6*(1+(Assumptions!C29+$A20)))*(1+(Assumptions!D29+$A20)))*(1+(Assumptions!E29+$A20)))*(1+(Assumptions!F29+$A20)))*Assumptions!F30)*Assumptions!F38)),0)*Assumptions!F42)+(((((('Income Statement'!D6*(1+(Assumptions!C29+$A20)))*(1+(Assumptions!D29+$A20)))*(1+(Assumptions!E29+$A20)))*(1+(Assumptions!F29+$A20)))*Assumptions!F30)*Assumptions!F38)-(((((('Income Statement'!D6*(1+(Assumptions!C29+$A20)))*(1+(Assumptions!D29+$A20)))*(1+(Assumptions!E29+$A20)))*(1+(Assumptions!F29+$A20)))*Assumptions!F30)*Assumptions!F43)-(Assumptions!F44*(((((('Income Statement'!D6*(1+(Assumptions!C29+$A20)))*(1+(Assumptions!D29+$A20)))*(1+(Assumptions!E29+$A20)))*(1+(Assumptions!F29+$A20)))*Assumptions!F30)-(((('Income Statement'!D6*(1+(Assumptions!C29+$A20)))*(1+(Assumptions!D29+$A20)))*(1+(Assumptions!E29+$A20)))*Assumptions!E30)))-(Assumptions!F48*(((((('Income Statement'!D6*(1+(Assumptions!C29+$A20)))*(1+(Assumptions!D29+$A20)))*(1+(Assumptions!E29+$A20)))*(1+(Assumptions!F29+$A20)))*Assumptions!F46)-(((('Income Statement'!D6*(1+(Assumptions!C29+$A20)))*(1+(Assumptions!D29+$A20)))*(1+(Assumptions!E29+$A20)))*Assumptions!E46))))/(1+Assumptions!$C$60)^3.5)+(((((((((('Income Statement'!D6*(1+(Assumptions!C29+$A20)))*(1+(Assumptions!D29+$A20)))*(1+(Assumptions!E29+$A20)))*(1+(Assumptions!F29+$A20)))*(1+(Assumptions!G29+$A20)))*Assumptions!G30)-((((((('Income Statement'!D6*(1+(Assumptions!C29+$A20)))*(1+(Assumptions!D29+$A20)))*(1+(Assumptions!E29+$A20)))*(1+(Assumptions!F29+$A20)))*(1+(Assumptions!G29+$A20)))*(Assumptions!G31+B$18))+((((((('Income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Statement'!D6*(1+(Assumptions!C29+$A20)))*(1+(Assumptions!D29+$A20)))*(1+(Assumptions!E29+$A20)))*(1+(Assumptions!F29+$A20)))*(1+(Assumptions!G29+$A20)))*(Assumptions!G31+B$18))+((((((('Income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Statement'!D6*(1+(Assumptions!C29+$A20)))*(1+(Assumptions!D29+$A20)))*(1+(Assumptions!E29+$A20)))*(1+(Assumptions!F29+$A20)))*Assumptions!F46))))/(1+Assumptions!$C$60)^4.5))+((((((((((('Income Statement'!D6*(1+(Assumptions!C29+$A20)))*(1+(Assumptions!D29+$A20)))*(1+(Assumptions!E29+$A20)))*(1+(Assumptions!F29+$A20)))*(1+(Assumptions!G29+$A20)))*Assumptions!G30)-((((((('Income Statement'!D6*(1+(Assumptions!C29+$A20)))*(1+(Assumptions!D29+$A20)))*(1+(Assumptions!E29+$A20)))*(1+(Assumptions!F29+$A20)))*(1+(Assumptions!G29+$A20)))*(Assumptions!G31+B$18))+((((((('Income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Statement'!D6*(1+(Assumptions!C29+$A20)))*(1+(Assumptions!D29+$A20)))*(1+(Assumptions!E29+$A20)))*(1+(Assumptions!F29+$A20)))*(1+(Assumptions!G29+$A20)))*(Assumptions!G31+B$18))+((((((('Income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Statement'!D6*(1+(Assumptions!C29+$A20)))*(1+(Assumptions!D29+$A20)))*(1+(Assumptions!E29+$A20)))*(1+(Assumptions!F29+$A20)))*Assumptions!F46))))*(1+Assumptions!$C$61)/(Assumptions!$C$60-Assumptions!$C$61))/(1+Assumptions!$C$60)^5))-Assumptions!$C$25)/Assumptions!$C$21</f>
        <v>4.04939032822199</v>
      </c>
      <c r="C20" s="59" t="n">
        <f aca="false">((((((((('Income Statement'!D6*(1+(Assumptions!C29+$A20)))*Assumptions!C30)-((('Income Statement'!D6*(1+(Assumptions!C29+$A20)))*(Assumptions!C31+C$18))+((('Income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Statement'!D6*(1+(Assumptions!C29+$A20)))*Assumptions!C30)*Assumptions!C38))-MAX(((('Income Statement'!D6*(1+(Assumptions!C29+$A20)))*Assumptions!C30)-((('Income Statement'!D6*(1+(Assumptions!C29+$A20)))*(Assumptions!C31+C$18))+((('Income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Statement'!D6*(1+(Assumptions!C29+$A20)))*Assumptions!C30)*Assumptions!C38)),0)*Assumptions!C42)+((('Income Statement'!D6*(1+(Assumptions!C29+$A20)))*Assumptions!C30)*Assumptions!C38)-((('Income Statement'!D6*(1+(Assumptions!C29+$A20)))*Assumptions!C30)*Assumptions!C43)-(Assumptions!C44*((('Income Statement'!D6*(1+(Assumptions!C29+$A20)))*Assumptions!C30)-'Income Statement'!D9))-(Assumptions!C48*((('Income Statement'!D6*(1+(Assumptions!C29+$A20)))*Assumptions!C46)-'Balance Sheet'!D6)))/(1+Assumptions!$C$60)^0.5)+((((((('Income Statement'!D6*(1+(Assumptions!C29+$A20)))*(1+(Assumptions!D29+$A20)))*Assumptions!D30)-(((('Income Statement'!D6*(1+(Assumptions!C29+$A20)))*(1+(Assumptions!D29+$A20)))*(Assumptions!D31+C$18))+(((('Income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Statement'!D6*(1+(Assumptions!C29+$A20)))*(1+(Assumptions!D29+$A20)))*Assumptions!D30)*Assumptions!D38))-MAX((((('Income Statement'!D6*(1+(Assumptions!C29+$A20)))*(1+(Assumptions!D29+$A20)))*Assumptions!D30)-(((('Income Statement'!D6*(1+(Assumptions!C29+$A20)))*(1+(Assumptions!D29+$A20)))*(Assumptions!D31+C$18))+(((('Income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Statement'!D6*(1+(Assumptions!C29+$A20)))*(1+(Assumptions!D29+$A20)))*Assumptions!D30)*Assumptions!D38)),0)*Assumptions!D42)+(((('Income Statement'!D6*(1+(Assumptions!C29+$A20)))*(1+(Assumptions!D29+$A20)))*Assumptions!D30)*Assumptions!D38)-(((('Income Statement'!D6*(1+(Assumptions!C29+$A20)))*(1+(Assumptions!D29+$A20)))*Assumptions!D30)*Assumptions!D43)-(Assumptions!D44*(((('Income Statement'!D6*(1+(Assumptions!C29+$A20)))*(1+(Assumptions!D29+$A20)))*Assumptions!D30)-(('Income Statement'!D6*(1+(Assumptions!C29+$A20)))*Assumptions!C30)))-(Assumptions!D48*(((('Income Statement'!D6*(1+(Assumptions!C29+$A20)))*(1+(Assumptions!D29+$A20)))*Assumptions!D46)-(('Income Statement'!D6*(1+(Assumptions!C29+$A20)))*Assumptions!C46))))/(1+Assumptions!$C$60)^1.5)+(((((((('Income Statement'!D6*(1+(Assumptions!C29+$A20)))*(1+(Assumptions!D29+$A20)))*(1+(Assumptions!E29+$A20)))*Assumptions!E30)-((((('Income Statement'!D6*(1+(Assumptions!C29+$A20)))*(1+(Assumptions!D29+$A20)))*(1+(Assumptions!E29+$A20)))*(Assumptions!E31+C$18))+((((('Income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Statement'!D6*(1+(Assumptions!C29+$A20)))*(1+(Assumptions!D29+$A20)))*(1+(Assumptions!E29+$A20)))*Assumptions!E30)*Assumptions!E38))-MAX(((((('Income Statement'!D6*(1+(Assumptions!C29+$A20)))*(1+(Assumptions!D29+$A20)))*(1+(Assumptions!E29+$A20)))*Assumptions!E30)-((((('Income Statement'!D6*(1+(Assumptions!C29+$A20)))*(1+(Assumptions!D29+$A20)))*(1+(Assumptions!E29+$A20)))*(Assumptions!E31+C$18))+((((('Income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Statement'!D6*(1+(Assumptions!C29+$A20)))*(1+(Assumptions!D29+$A20)))*(1+(Assumptions!E29+$A20)))*Assumptions!E30)*Assumptions!E38)),0)*Assumptions!E42)+((((('Income Statement'!D6*(1+(Assumptions!C29+$A20)))*(1+(Assumptions!D29+$A20)))*(1+(Assumptions!E29+$A20)))*Assumptions!E30)*Assumptions!E38)-((((('Income Statement'!D6*(1+(Assumptions!C29+$A20)))*(1+(Assumptions!D29+$A20)))*(1+(Assumptions!E29+$A20)))*Assumptions!E30)*Assumptions!E43)-(Assumptions!E44*((((('Income Statement'!D6*(1+(Assumptions!C29+$A20)))*(1+(Assumptions!D29+$A20)))*(1+(Assumptions!E29+$A20)))*Assumptions!E30)-((('Income Statement'!D6*(1+(Assumptions!C29+$A20)))*(1+(Assumptions!D29+$A20)))*Assumptions!D30)))-(Assumptions!E48*((((('Income Statement'!D6*(1+(Assumptions!C29+$A20)))*(1+(Assumptions!D29+$A20)))*(1+(Assumptions!E29+$A20)))*Assumptions!E46)-((('Income Statement'!D6*(1+(Assumptions!C29+$A20)))*(1+(Assumptions!D29+$A20)))*Assumptions!D46))))/(1+Assumptions!$C$60)^2.5)+((((((((('Income Statement'!D6*(1+(Assumptions!C29+$A20)))*(1+(Assumptions!D29+$A20)))*(1+(Assumptions!E29+$A20)))*(1+(Assumptions!F29+$A20)))*Assumptions!F30)-(((((('Income Statement'!D6*(1+(Assumptions!C29+$A20)))*(1+(Assumptions!D29+$A20)))*(1+(Assumptions!E29+$A20)))*(1+(Assumptions!F29+$A20)))*(Assumptions!F31+C$18))+(((((('Income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Statement'!D6*(1+(Assumptions!C29+$A20)))*(1+(Assumptions!D29+$A20)))*(1+(Assumptions!E29+$A20)))*(1+(Assumptions!F29+$A20)))*Assumptions!F30)*Assumptions!F38))-MAX((((((('Income Statement'!D6*(1+(Assumptions!C29+$A20)))*(1+(Assumptions!D29+$A20)))*(1+(Assumptions!E29+$A20)))*(1+(Assumptions!F29+$A20)))*Assumptions!F30)-(((((('Income Statement'!D6*(1+(Assumptions!C29+$A20)))*(1+(Assumptions!D29+$A20)))*(1+(Assumptions!E29+$A20)))*(1+(Assumptions!F29+$A20)))*(Assumptions!F31+C$18))+(((((('Income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Statement'!D6*(1+(Assumptions!C29+$A20)))*(1+(Assumptions!D29+$A20)))*(1+(Assumptions!E29+$A20)))*(1+(Assumptions!F29+$A20)))*Assumptions!F30)*Assumptions!F38)),0)*Assumptions!F42)+(((((('Income Statement'!D6*(1+(Assumptions!C29+$A20)))*(1+(Assumptions!D29+$A20)))*(1+(Assumptions!E29+$A20)))*(1+(Assumptions!F29+$A20)))*Assumptions!F30)*Assumptions!F38)-(((((('Income Statement'!D6*(1+(Assumptions!C29+$A20)))*(1+(Assumptions!D29+$A20)))*(1+(Assumptions!E29+$A20)))*(1+(Assumptions!F29+$A20)))*Assumptions!F30)*Assumptions!F43)-(Assumptions!F44*(((((('Income Statement'!D6*(1+(Assumptions!C29+$A20)))*(1+(Assumptions!D29+$A20)))*(1+(Assumptions!E29+$A20)))*(1+(Assumptions!F29+$A20)))*Assumptions!F30)-(((('Income Statement'!D6*(1+(Assumptions!C29+$A20)))*(1+(Assumptions!D29+$A20)))*(1+(Assumptions!E29+$A20)))*Assumptions!E30)))-(Assumptions!F48*(((((('Income Statement'!D6*(1+(Assumptions!C29+$A20)))*(1+(Assumptions!D29+$A20)))*(1+(Assumptions!E29+$A20)))*(1+(Assumptions!F29+$A20)))*Assumptions!F46)-(((('Income Statement'!D6*(1+(Assumptions!C29+$A20)))*(1+(Assumptions!D29+$A20)))*(1+(Assumptions!E29+$A20)))*Assumptions!E46))))/(1+Assumptions!$C$60)^3.5)+(((((((((('Income Statement'!D6*(1+(Assumptions!C29+$A20)))*(1+(Assumptions!D29+$A20)))*(1+(Assumptions!E29+$A20)))*(1+(Assumptions!F29+$A20)))*(1+(Assumptions!G29+$A20)))*Assumptions!G30)-((((((('Income Statement'!D6*(1+(Assumptions!C29+$A20)))*(1+(Assumptions!D29+$A20)))*(1+(Assumptions!E29+$A20)))*(1+(Assumptions!F29+$A20)))*(1+(Assumptions!G29+$A20)))*(Assumptions!G31+C$18))+((((((('Income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Statement'!D6*(1+(Assumptions!C29+$A20)))*(1+(Assumptions!D29+$A20)))*(1+(Assumptions!E29+$A20)))*(1+(Assumptions!F29+$A20)))*(1+(Assumptions!G29+$A20)))*(Assumptions!G31+C$18))+((((((('Income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Statement'!D6*(1+(Assumptions!C29+$A20)))*(1+(Assumptions!D29+$A20)))*(1+(Assumptions!E29+$A20)))*(1+(Assumptions!F29+$A20)))*Assumptions!F46))))/(1+Assumptions!$C$60)^4.5))+((((((((((('Income Statement'!D6*(1+(Assumptions!C29+$A20)))*(1+(Assumptions!D29+$A20)))*(1+(Assumptions!E29+$A20)))*(1+(Assumptions!F29+$A20)))*(1+(Assumptions!G29+$A20)))*Assumptions!G30)-((((((('Income Statement'!D6*(1+(Assumptions!C29+$A20)))*(1+(Assumptions!D29+$A20)))*(1+(Assumptions!E29+$A20)))*(1+(Assumptions!F29+$A20)))*(1+(Assumptions!G29+$A20)))*(Assumptions!G31+C$18))+((((((('Income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Statement'!D6*(1+(Assumptions!C29+$A20)))*(1+(Assumptions!D29+$A20)))*(1+(Assumptions!E29+$A20)))*(1+(Assumptions!F29+$A20)))*(1+(Assumptions!G29+$A20)))*(Assumptions!G31+C$18))+((((((('Income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Statement'!D6*(1+(Assumptions!C29+$A20)))*(1+(Assumptions!D29+$A20)))*(1+(Assumptions!E29+$A20)))*(1+(Assumptions!F29+$A20)))*Assumptions!F46))))*(1+Assumptions!$C$61)/(Assumptions!$C$60-Assumptions!$C$61))/(1+Assumptions!$C$60)^5))-Assumptions!$C$25)/Assumptions!$C$21</f>
        <v>12.890997434547</v>
      </c>
      <c r="D20" s="59" t="n">
        <f aca="false">((((((((('Income Statement'!D6*(1+(Assumptions!C29+$A20)))*Assumptions!C30)-((('Income Statement'!D6*(1+(Assumptions!C29+$A20)))*(Assumptions!C31+D$18))+((('Income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Statement'!D6*(1+(Assumptions!C29+$A20)))*Assumptions!C30)*Assumptions!C38))-MAX(((('Income Statement'!D6*(1+(Assumptions!C29+$A20)))*Assumptions!C30)-((('Income Statement'!D6*(1+(Assumptions!C29+$A20)))*(Assumptions!C31+D$18))+((('Income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Statement'!D6*(1+(Assumptions!C29+$A20)))*Assumptions!C30)*Assumptions!C38)),0)*Assumptions!C42)+((('Income Statement'!D6*(1+(Assumptions!C29+$A20)))*Assumptions!C30)*Assumptions!C38)-((('Income Statement'!D6*(1+(Assumptions!C29+$A20)))*Assumptions!C30)*Assumptions!C43)-(Assumptions!C44*((('Income Statement'!D6*(1+(Assumptions!C29+$A20)))*Assumptions!C30)-'Income Statement'!D9))-(Assumptions!C48*((('Income Statement'!D6*(1+(Assumptions!C29+$A20)))*Assumptions!C46)-'Balance Sheet'!D6)))/(1+Assumptions!$C$60)^0.5)+((((((('Income Statement'!D6*(1+(Assumptions!C29+$A20)))*(1+(Assumptions!D29+$A20)))*Assumptions!D30)-(((('Income Statement'!D6*(1+(Assumptions!C29+$A20)))*(1+(Assumptions!D29+$A20)))*(Assumptions!D31+D$18))+(((('Income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Statement'!D6*(1+(Assumptions!C29+$A20)))*(1+(Assumptions!D29+$A20)))*Assumptions!D30)*Assumptions!D38))-MAX((((('Income Statement'!D6*(1+(Assumptions!C29+$A20)))*(1+(Assumptions!D29+$A20)))*Assumptions!D30)-(((('Income Statement'!D6*(1+(Assumptions!C29+$A20)))*(1+(Assumptions!D29+$A20)))*(Assumptions!D31+D$18))+(((('Income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Statement'!D6*(1+(Assumptions!C29+$A20)))*(1+(Assumptions!D29+$A20)))*Assumptions!D30)*Assumptions!D38)),0)*Assumptions!D42)+(((('Income Statement'!D6*(1+(Assumptions!C29+$A20)))*(1+(Assumptions!D29+$A20)))*Assumptions!D30)*Assumptions!D38)-(((('Income Statement'!D6*(1+(Assumptions!C29+$A20)))*(1+(Assumptions!D29+$A20)))*Assumptions!D30)*Assumptions!D43)-(Assumptions!D44*(((('Income Statement'!D6*(1+(Assumptions!C29+$A20)))*(1+(Assumptions!D29+$A20)))*Assumptions!D30)-(('Income Statement'!D6*(1+(Assumptions!C29+$A20)))*Assumptions!C30)))-(Assumptions!D48*(((('Income Statement'!D6*(1+(Assumptions!C29+$A20)))*(1+(Assumptions!D29+$A20)))*Assumptions!D46)-(('Income Statement'!D6*(1+(Assumptions!C29+$A20)))*Assumptions!C46))))/(1+Assumptions!$C$60)^1.5)+(((((((('Income Statement'!D6*(1+(Assumptions!C29+$A20)))*(1+(Assumptions!D29+$A20)))*(1+(Assumptions!E29+$A20)))*Assumptions!E30)-((((('Income Statement'!D6*(1+(Assumptions!C29+$A20)))*(1+(Assumptions!D29+$A20)))*(1+(Assumptions!E29+$A20)))*(Assumptions!E31+D$18))+((((('Income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Statement'!D6*(1+(Assumptions!C29+$A20)))*(1+(Assumptions!D29+$A20)))*(1+(Assumptions!E29+$A20)))*Assumptions!E30)*Assumptions!E38))-MAX(((((('Income Statement'!D6*(1+(Assumptions!C29+$A20)))*(1+(Assumptions!D29+$A20)))*(1+(Assumptions!E29+$A20)))*Assumptions!E30)-((((('Income Statement'!D6*(1+(Assumptions!C29+$A20)))*(1+(Assumptions!D29+$A20)))*(1+(Assumptions!E29+$A20)))*(Assumptions!E31+D$18))+((((('Income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Statement'!D6*(1+(Assumptions!C29+$A20)))*(1+(Assumptions!D29+$A20)))*(1+(Assumptions!E29+$A20)))*Assumptions!E30)*Assumptions!E38)),0)*Assumptions!E42)+((((('Income Statement'!D6*(1+(Assumptions!C29+$A20)))*(1+(Assumptions!D29+$A20)))*(1+(Assumptions!E29+$A20)))*Assumptions!E30)*Assumptions!E38)-((((('Income Statement'!D6*(1+(Assumptions!C29+$A20)))*(1+(Assumptions!D29+$A20)))*(1+(Assumptions!E29+$A20)))*Assumptions!E30)*Assumptions!E43)-(Assumptions!E44*((((('Income Statement'!D6*(1+(Assumptions!C29+$A20)))*(1+(Assumptions!D29+$A20)))*(1+(Assumptions!E29+$A20)))*Assumptions!E30)-((('Income Statement'!D6*(1+(Assumptions!C29+$A20)))*(1+(Assumptions!D29+$A20)))*Assumptions!D30)))-(Assumptions!E48*((((('Income Statement'!D6*(1+(Assumptions!C29+$A20)))*(1+(Assumptions!D29+$A20)))*(1+(Assumptions!E29+$A20)))*Assumptions!E46)-((('Income Statement'!D6*(1+(Assumptions!C29+$A20)))*(1+(Assumptions!D29+$A20)))*Assumptions!D46))))/(1+Assumptions!$C$60)^2.5)+((((((((('Income Statement'!D6*(1+(Assumptions!C29+$A20)))*(1+(Assumptions!D29+$A20)))*(1+(Assumptions!E29+$A20)))*(1+(Assumptions!F29+$A20)))*Assumptions!F30)-(((((('Income Statement'!D6*(1+(Assumptions!C29+$A20)))*(1+(Assumptions!D29+$A20)))*(1+(Assumptions!E29+$A20)))*(1+(Assumptions!F29+$A20)))*(Assumptions!F31+D$18))+(((((('Income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Statement'!D6*(1+(Assumptions!C29+$A20)))*(1+(Assumptions!D29+$A20)))*(1+(Assumptions!E29+$A20)))*(1+(Assumptions!F29+$A20)))*Assumptions!F30)*Assumptions!F38))-MAX((((((('Income Statement'!D6*(1+(Assumptions!C29+$A20)))*(1+(Assumptions!D29+$A20)))*(1+(Assumptions!E29+$A20)))*(1+(Assumptions!F29+$A20)))*Assumptions!F30)-(((((('Income Statement'!D6*(1+(Assumptions!C29+$A20)))*(1+(Assumptions!D29+$A20)))*(1+(Assumptions!E29+$A20)))*(1+(Assumptions!F29+$A20)))*(Assumptions!F31+D$18))+(((((('Income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Statement'!D6*(1+(Assumptions!C29+$A20)))*(1+(Assumptions!D29+$A20)))*(1+(Assumptions!E29+$A20)))*(1+(Assumptions!F29+$A20)))*Assumptions!F30)*Assumptions!F38)),0)*Assumptions!F42)+(((((('Income Statement'!D6*(1+(Assumptions!C29+$A20)))*(1+(Assumptions!D29+$A20)))*(1+(Assumptions!E29+$A20)))*(1+(Assumptions!F29+$A20)))*Assumptions!F30)*Assumptions!F38)-(((((('Income Statement'!D6*(1+(Assumptions!C29+$A20)))*(1+(Assumptions!D29+$A20)))*(1+(Assumptions!E29+$A20)))*(1+(Assumptions!F29+$A20)))*Assumptions!F30)*Assumptions!F43)-(Assumptions!F44*(((((('Income Statement'!D6*(1+(Assumptions!C29+$A20)))*(1+(Assumptions!D29+$A20)))*(1+(Assumptions!E29+$A20)))*(1+(Assumptions!F29+$A20)))*Assumptions!F30)-(((('Income Statement'!D6*(1+(Assumptions!C29+$A20)))*(1+(Assumptions!D29+$A20)))*(1+(Assumptions!E29+$A20)))*Assumptions!E30)))-(Assumptions!F48*(((((('Income Statement'!D6*(1+(Assumptions!C29+$A20)))*(1+(Assumptions!D29+$A20)))*(1+(Assumptions!E29+$A20)))*(1+(Assumptions!F29+$A20)))*Assumptions!F46)-(((('Income Statement'!D6*(1+(Assumptions!C29+$A20)))*(1+(Assumptions!D29+$A20)))*(1+(Assumptions!E29+$A20)))*Assumptions!E46))))/(1+Assumptions!$C$60)^3.5)+(((((((((('Income Statement'!D6*(1+(Assumptions!C29+$A20)))*(1+(Assumptions!D29+$A20)))*(1+(Assumptions!E29+$A20)))*(1+(Assumptions!F29+$A20)))*(1+(Assumptions!G29+$A20)))*Assumptions!G30)-((((((('Income Statement'!D6*(1+(Assumptions!C29+$A20)))*(1+(Assumptions!D29+$A20)))*(1+(Assumptions!E29+$A20)))*(1+(Assumptions!F29+$A20)))*(1+(Assumptions!G29+$A20)))*(Assumptions!G31+D$18))+((((((('Income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Statement'!D6*(1+(Assumptions!C29+$A20)))*(1+(Assumptions!D29+$A20)))*(1+(Assumptions!E29+$A20)))*(1+(Assumptions!F29+$A20)))*(1+(Assumptions!G29+$A20)))*(Assumptions!G31+D$18))+((((((('Income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Statement'!D6*(1+(Assumptions!C29+$A20)))*(1+(Assumptions!D29+$A20)))*(1+(Assumptions!E29+$A20)))*(1+(Assumptions!F29+$A20)))*Assumptions!F46))))/(1+Assumptions!$C$60)^4.5))+((((((((((('Income Statement'!D6*(1+(Assumptions!C29+$A20)))*(1+(Assumptions!D29+$A20)))*(1+(Assumptions!E29+$A20)))*(1+(Assumptions!F29+$A20)))*(1+(Assumptions!G29+$A20)))*Assumptions!G30)-((((((('Income Statement'!D6*(1+(Assumptions!C29+$A20)))*(1+(Assumptions!D29+$A20)))*(1+(Assumptions!E29+$A20)))*(1+(Assumptions!F29+$A20)))*(1+(Assumptions!G29+$A20)))*(Assumptions!G31+D$18))+((((((('Income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Statement'!D6*(1+(Assumptions!C29+$A20)))*(1+(Assumptions!D29+$A20)))*(1+(Assumptions!E29+$A20)))*(1+(Assumptions!F29+$A20)))*(1+(Assumptions!G29+$A20)))*(Assumptions!G31+D$18))+((((((('Income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Statement'!D6*(1+(Assumptions!C29+$A20)))*(1+(Assumptions!D29+$A20)))*(1+(Assumptions!E29+$A20)))*(1+(Assumptions!F29+$A20)))*Assumptions!F46))))*(1+Assumptions!$C$61)/(Assumptions!$C$60-Assumptions!$C$61))/(1+Assumptions!$C$60)^5))-Assumptions!$C$25)/Assumptions!$C$21</f>
        <v>21.4872219244338</v>
      </c>
      <c r="E20" s="59" t="n">
        <f aca="false">((((((((('Income Statement'!D6*(1+(Assumptions!C29+$A20)))*Assumptions!C30)-((('Income Statement'!D6*(1+(Assumptions!C29+$A20)))*(Assumptions!C31+E$18))+((('Income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Statement'!D6*(1+(Assumptions!C29+$A20)))*Assumptions!C30)*Assumptions!C38))-MAX(((('Income Statement'!D6*(1+(Assumptions!C29+$A20)))*Assumptions!C30)-((('Income Statement'!D6*(1+(Assumptions!C29+$A20)))*(Assumptions!C31+E$18))+((('Income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Statement'!D6*(1+(Assumptions!C29+$A20)))*Assumptions!C30)*Assumptions!C38)),0)*Assumptions!C42)+((('Income Statement'!D6*(1+(Assumptions!C29+$A20)))*Assumptions!C30)*Assumptions!C38)-((('Income Statement'!D6*(1+(Assumptions!C29+$A20)))*Assumptions!C30)*Assumptions!C43)-(Assumptions!C44*((('Income Statement'!D6*(1+(Assumptions!C29+$A20)))*Assumptions!C30)-'Income Statement'!D9))-(Assumptions!C48*((('Income Statement'!D6*(1+(Assumptions!C29+$A20)))*Assumptions!C46)-'Balance Sheet'!D6)))/(1+Assumptions!$C$60)^0.5)+((((((('Income Statement'!D6*(1+(Assumptions!C29+$A20)))*(1+(Assumptions!D29+$A20)))*Assumptions!D30)-(((('Income Statement'!D6*(1+(Assumptions!C29+$A20)))*(1+(Assumptions!D29+$A20)))*(Assumptions!D31+E$18))+(((('Income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Statement'!D6*(1+(Assumptions!C29+$A20)))*(1+(Assumptions!D29+$A20)))*Assumptions!D30)*Assumptions!D38))-MAX((((('Income Statement'!D6*(1+(Assumptions!C29+$A20)))*(1+(Assumptions!D29+$A20)))*Assumptions!D30)-(((('Income Statement'!D6*(1+(Assumptions!C29+$A20)))*(1+(Assumptions!D29+$A20)))*(Assumptions!D31+E$18))+(((('Income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Statement'!D6*(1+(Assumptions!C29+$A20)))*(1+(Assumptions!D29+$A20)))*Assumptions!D30)*Assumptions!D38)),0)*Assumptions!D42)+(((('Income Statement'!D6*(1+(Assumptions!C29+$A20)))*(1+(Assumptions!D29+$A20)))*Assumptions!D30)*Assumptions!D38)-(((('Income Statement'!D6*(1+(Assumptions!C29+$A20)))*(1+(Assumptions!D29+$A20)))*Assumptions!D30)*Assumptions!D43)-(Assumptions!D44*(((('Income Statement'!D6*(1+(Assumptions!C29+$A20)))*(1+(Assumptions!D29+$A20)))*Assumptions!D30)-(('Income Statement'!D6*(1+(Assumptions!C29+$A20)))*Assumptions!C30)))-(Assumptions!D48*(((('Income Statement'!D6*(1+(Assumptions!C29+$A20)))*(1+(Assumptions!D29+$A20)))*Assumptions!D46)-(('Income Statement'!D6*(1+(Assumptions!C29+$A20)))*Assumptions!C46))))/(1+Assumptions!$C$60)^1.5)+(((((((('Income Statement'!D6*(1+(Assumptions!C29+$A20)))*(1+(Assumptions!D29+$A20)))*(1+(Assumptions!E29+$A20)))*Assumptions!E30)-((((('Income Statement'!D6*(1+(Assumptions!C29+$A20)))*(1+(Assumptions!D29+$A20)))*(1+(Assumptions!E29+$A20)))*(Assumptions!E31+E$18))+((((('Income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Statement'!D6*(1+(Assumptions!C29+$A20)))*(1+(Assumptions!D29+$A20)))*(1+(Assumptions!E29+$A20)))*Assumptions!E30)*Assumptions!E38))-MAX(((((('Income Statement'!D6*(1+(Assumptions!C29+$A20)))*(1+(Assumptions!D29+$A20)))*(1+(Assumptions!E29+$A20)))*Assumptions!E30)-((((('Income Statement'!D6*(1+(Assumptions!C29+$A20)))*(1+(Assumptions!D29+$A20)))*(1+(Assumptions!E29+$A20)))*(Assumptions!E31+E$18))+((((('Income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Statement'!D6*(1+(Assumptions!C29+$A20)))*(1+(Assumptions!D29+$A20)))*(1+(Assumptions!E29+$A20)))*Assumptions!E30)*Assumptions!E38)),0)*Assumptions!E42)+((((('Income Statement'!D6*(1+(Assumptions!C29+$A20)))*(1+(Assumptions!D29+$A20)))*(1+(Assumptions!E29+$A20)))*Assumptions!E30)*Assumptions!E38)-((((('Income Statement'!D6*(1+(Assumptions!C29+$A20)))*(1+(Assumptions!D29+$A20)))*(1+(Assumptions!E29+$A20)))*Assumptions!E30)*Assumptions!E43)-(Assumptions!E44*((((('Income Statement'!D6*(1+(Assumptions!C29+$A20)))*(1+(Assumptions!D29+$A20)))*(1+(Assumptions!E29+$A20)))*Assumptions!E30)-((('Income Statement'!D6*(1+(Assumptions!C29+$A20)))*(1+(Assumptions!D29+$A20)))*Assumptions!D30)))-(Assumptions!E48*((((('Income Statement'!D6*(1+(Assumptions!C29+$A20)))*(1+(Assumptions!D29+$A20)))*(1+(Assumptions!E29+$A20)))*Assumptions!E46)-((('Income Statement'!D6*(1+(Assumptions!C29+$A20)))*(1+(Assumptions!D29+$A20)))*Assumptions!D46))))/(1+Assumptions!$C$60)^2.5)+((((((((('Income Statement'!D6*(1+(Assumptions!C29+$A20)))*(1+(Assumptions!D29+$A20)))*(1+(Assumptions!E29+$A20)))*(1+(Assumptions!F29+$A20)))*Assumptions!F30)-(((((('Income Statement'!D6*(1+(Assumptions!C29+$A20)))*(1+(Assumptions!D29+$A20)))*(1+(Assumptions!E29+$A20)))*(1+(Assumptions!F29+$A20)))*(Assumptions!F31+E$18))+(((((('Income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Statement'!D6*(1+(Assumptions!C29+$A20)))*(1+(Assumptions!D29+$A20)))*(1+(Assumptions!E29+$A20)))*(1+(Assumptions!F29+$A20)))*Assumptions!F30)*Assumptions!F38))-MAX((((((('Income Statement'!D6*(1+(Assumptions!C29+$A20)))*(1+(Assumptions!D29+$A20)))*(1+(Assumptions!E29+$A20)))*(1+(Assumptions!F29+$A20)))*Assumptions!F30)-(((((('Income Statement'!D6*(1+(Assumptions!C29+$A20)))*(1+(Assumptions!D29+$A20)))*(1+(Assumptions!E29+$A20)))*(1+(Assumptions!F29+$A20)))*(Assumptions!F31+E$18))+(((((('Income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Statement'!D6*(1+(Assumptions!C29+$A20)))*(1+(Assumptions!D29+$A20)))*(1+(Assumptions!E29+$A20)))*(1+(Assumptions!F29+$A20)))*Assumptions!F30)*Assumptions!F38)),0)*Assumptions!F42)+(((((('Income Statement'!D6*(1+(Assumptions!C29+$A20)))*(1+(Assumptions!D29+$A20)))*(1+(Assumptions!E29+$A20)))*(1+(Assumptions!F29+$A20)))*Assumptions!F30)*Assumptions!F38)-(((((('Income Statement'!D6*(1+(Assumptions!C29+$A20)))*(1+(Assumptions!D29+$A20)))*(1+(Assumptions!E29+$A20)))*(1+(Assumptions!F29+$A20)))*Assumptions!F30)*Assumptions!F43)-(Assumptions!F44*(((((('Income Statement'!D6*(1+(Assumptions!C29+$A20)))*(1+(Assumptions!D29+$A20)))*(1+(Assumptions!E29+$A20)))*(1+(Assumptions!F29+$A20)))*Assumptions!F30)-(((('Income Statement'!D6*(1+(Assumptions!C29+$A20)))*(1+(Assumptions!D29+$A20)))*(1+(Assumptions!E29+$A20)))*Assumptions!E30)))-(Assumptions!F48*(((((('Income Statement'!D6*(1+(Assumptions!C29+$A20)))*(1+(Assumptions!D29+$A20)))*(1+(Assumptions!E29+$A20)))*(1+(Assumptions!F29+$A20)))*Assumptions!F46)-(((('Income Statement'!D6*(1+(Assumptions!C29+$A20)))*(1+(Assumptions!D29+$A20)))*(1+(Assumptions!E29+$A20)))*Assumptions!E46))))/(1+Assumptions!$C$60)^3.5)+(((((((((('Income Statement'!D6*(1+(Assumptions!C29+$A20)))*(1+(Assumptions!D29+$A20)))*(1+(Assumptions!E29+$A20)))*(1+(Assumptions!F29+$A20)))*(1+(Assumptions!G29+$A20)))*Assumptions!G30)-((((((('Income Statement'!D6*(1+(Assumptions!C29+$A20)))*(1+(Assumptions!D29+$A20)))*(1+(Assumptions!E29+$A20)))*(1+(Assumptions!F29+$A20)))*(1+(Assumptions!G29+$A20)))*(Assumptions!G31+E$18))+((((((('Income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Statement'!D6*(1+(Assumptions!C29+$A20)))*(1+(Assumptions!D29+$A20)))*(1+(Assumptions!E29+$A20)))*(1+(Assumptions!F29+$A20)))*(1+(Assumptions!G29+$A20)))*(Assumptions!G31+E$18))+((((((('Income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Statement'!D6*(1+(Assumptions!C29+$A20)))*(1+(Assumptions!D29+$A20)))*(1+(Assumptions!E29+$A20)))*(1+(Assumptions!F29+$A20)))*Assumptions!F46))))/(1+Assumptions!$C$60)^4.5))+((((((((((('Income Statement'!D6*(1+(Assumptions!C29+$A20)))*(1+(Assumptions!D29+$A20)))*(1+(Assumptions!E29+$A20)))*(1+(Assumptions!F29+$A20)))*(1+(Assumptions!G29+$A20)))*Assumptions!G30)-((((((('Income Statement'!D6*(1+(Assumptions!C29+$A20)))*(1+(Assumptions!D29+$A20)))*(1+(Assumptions!E29+$A20)))*(1+(Assumptions!F29+$A20)))*(1+(Assumptions!G29+$A20)))*(Assumptions!G31+E$18))+((((((('Income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Statement'!D6*(1+(Assumptions!C29+$A20)))*(1+(Assumptions!D29+$A20)))*(1+(Assumptions!E29+$A20)))*(1+(Assumptions!F29+$A20)))*(1+(Assumptions!G29+$A20)))*(Assumptions!G31+E$18))+((((((('Income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Statement'!D6*(1+(Assumptions!C29+$A20)))*(1+(Assumptions!D29+$A20)))*(1+(Assumptions!E29+$A20)))*(1+(Assumptions!F29+$A20)))*Assumptions!F46))))*(1+Assumptions!$C$61)/(Assumptions!$C$60-Assumptions!$C$61))/(1+Assumptions!$C$60)^5))-Assumptions!$C$25)/Assumptions!$C$21</f>
        <v>30.0216506685058</v>
      </c>
      <c r="F20" s="59" t="n">
        <f aca="false">((((((((('Income Statement'!D6*(1+(Assumptions!C29+$A20)))*Assumptions!C30)-((('Income Statement'!D6*(1+(Assumptions!C29+$A20)))*(Assumptions!C31+F$18))+((('Income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Statement'!D6*(1+(Assumptions!C29+$A20)))*Assumptions!C30)*Assumptions!C38))-MAX(((('Income Statement'!D6*(1+(Assumptions!C29+$A20)))*Assumptions!C30)-((('Income Statement'!D6*(1+(Assumptions!C29+$A20)))*(Assumptions!C31+F$18))+((('Income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Statement'!D6*(1+(Assumptions!C29+$A20)))*Assumptions!C30)*Assumptions!C38)),0)*Assumptions!C42)+((('Income Statement'!D6*(1+(Assumptions!C29+$A20)))*Assumptions!C30)*Assumptions!C38)-((('Income Statement'!D6*(1+(Assumptions!C29+$A20)))*Assumptions!C30)*Assumptions!C43)-(Assumptions!C44*((('Income Statement'!D6*(1+(Assumptions!C29+$A20)))*Assumptions!C30)-'Income Statement'!D9))-(Assumptions!C48*((('Income Statement'!D6*(1+(Assumptions!C29+$A20)))*Assumptions!C46)-'Balance Sheet'!D6)))/(1+Assumptions!$C$60)^0.5)+((((((('Income Statement'!D6*(1+(Assumptions!C29+$A20)))*(1+(Assumptions!D29+$A20)))*Assumptions!D30)-(((('Income Statement'!D6*(1+(Assumptions!C29+$A20)))*(1+(Assumptions!D29+$A20)))*(Assumptions!D31+F$18))+(((('Income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Statement'!D6*(1+(Assumptions!C29+$A20)))*(1+(Assumptions!D29+$A20)))*Assumptions!D30)*Assumptions!D38))-MAX((((('Income Statement'!D6*(1+(Assumptions!C29+$A20)))*(1+(Assumptions!D29+$A20)))*Assumptions!D30)-(((('Income Statement'!D6*(1+(Assumptions!C29+$A20)))*(1+(Assumptions!D29+$A20)))*(Assumptions!D31+F$18))+(((('Income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Statement'!D6*(1+(Assumptions!C29+$A20)))*(1+(Assumptions!D29+$A20)))*Assumptions!D30)*Assumptions!D38)),0)*Assumptions!D42)+(((('Income Statement'!D6*(1+(Assumptions!C29+$A20)))*(1+(Assumptions!D29+$A20)))*Assumptions!D30)*Assumptions!D38)-(((('Income Statement'!D6*(1+(Assumptions!C29+$A20)))*(1+(Assumptions!D29+$A20)))*Assumptions!D30)*Assumptions!D43)-(Assumptions!D44*(((('Income Statement'!D6*(1+(Assumptions!C29+$A20)))*(1+(Assumptions!D29+$A20)))*Assumptions!D30)-(('Income Statement'!D6*(1+(Assumptions!C29+$A20)))*Assumptions!C30)))-(Assumptions!D48*(((('Income Statement'!D6*(1+(Assumptions!C29+$A20)))*(1+(Assumptions!D29+$A20)))*Assumptions!D46)-(('Income Statement'!D6*(1+(Assumptions!C29+$A20)))*Assumptions!C46))))/(1+Assumptions!$C$60)^1.5)+(((((((('Income Statement'!D6*(1+(Assumptions!C29+$A20)))*(1+(Assumptions!D29+$A20)))*(1+(Assumptions!E29+$A20)))*Assumptions!E30)-((((('Income Statement'!D6*(1+(Assumptions!C29+$A20)))*(1+(Assumptions!D29+$A20)))*(1+(Assumptions!E29+$A20)))*(Assumptions!E31+F$18))+((((('Income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Statement'!D6*(1+(Assumptions!C29+$A20)))*(1+(Assumptions!D29+$A20)))*(1+(Assumptions!E29+$A20)))*Assumptions!E30)*Assumptions!E38))-MAX(((((('Income Statement'!D6*(1+(Assumptions!C29+$A20)))*(1+(Assumptions!D29+$A20)))*(1+(Assumptions!E29+$A20)))*Assumptions!E30)-((((('Income Statement'!D6*(1+(Assumptions!C29+$A20)))*(1+(Assumptions!D29+$A20)))*(1+(Assumptions!E29+$A20)))*(Assumptions!E31+F$18))+((((('Income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Statement'!D6*(1+(Assumptions!C29+$A20)))*(1+(Assumptions!D29+$A20)))*(1+(Assumptions!E29+$A20)))*Assumptions!E30)*Assumptions!E38)),0)*Assumptions!E42)+((((('Income Statement'!D6*(1+(Assumptions!C29+$A20)))*(1+(Assumptions!D29+$A20)))*(1+(Assumptions!E29+$A20)))*Assumptions!E30)*Assumptions!E38)-((((('Income Statement'!D6*(1+(Assumptions!C29+$A20)))*(1+(Assumptions!D29+$A20)))*(1+(Assumptions!E29+$A20)))*Assumptions!E30)*Assumptions!E43)-(Assumptions!E44*((((('Income Statement'!D6*(1+(Assumptions!C29+$A20)))*(1+(Assumptions!D29+$A20)))*(1+(Assumptions!E29+$A20)))*Assumptions!E30)-((('Income Statement'!D6*(1+(Assumptions!C29+$A20)))*(1+(Assumptions!D29+$A20)))*Assumptions!D30)))-(Assumptions!E48*((((('Income Statement'!D6*(1+(Assumptions!C29+$A20)))*(1+(Assumptions!D29+$A20)))*(1+(Assumptions!E29+$A20)))*Assumptions!E46)-((('Income Statement'!D6*(1+(Assumptions!C29+$A20)))*(1+(Assumptions!D29+$A20)))*Assumptions!D46))))/(1+Assumptions!$C$60)^2.5)+((((((((('Income Statement'!D6*(1+(Assumptions!C29+$A20)))*(1+(Assumptions!D29+$A20)))*(1+(Assumptions!E29+$A20)))*(1+(Assumptions!F29+$A20)))*Assumptions!F30)-(((((('Income Statement'!D6*(1+(Assumptions!C29+$A20)))*(1+(Assumptions!D29+$A20)))*(1+(Assumptions!E29+$A20)))*(1+(Assumptions!F29+$A20)))*(Assumptions!F31+F$18))+(((((('Income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Statement'!D6*(1+(Assumptions!C29+$A20)))*(1+(Assumptions!D29+$A20)))*(1+(Assumptions!E29+$A20)))*(1+(Assumptions!F29+$A20)))*Assumptions!F30)*Assumptions!F38))-MAX((((((('Income Statement'!D6*(1+(Assumptions!C29+$A20)))*(1+(Assumptions!D29+$A20)))*(1+(Assumptions!E29+$A20)))*(1+(Assumptions!F29+$A20)))*Assumptions!F30)-(((((('Income Statement'!D6*(1+(Assumptions!C29+$A20)))*(1+(Assumptions!D29+$A20)))*(1+(Assumptions!E29+$A20)))*(1+(Assumptions!F29+$A20)))*(Assumptions!F31+F$18))+(((((('Income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Statement'!D6*(1+(Assumptions!C29+$A20)))*(1+(Assumptions!D29+$A20)))*(1+(Assumptions!E29+$A20)))*(1+(Assumptions!F29+$A20)))*Assumptions!F30)*Assumptions!F38)),0)*Assumptions!F42)+(((((('Income Statement'!D6*(1+(Assumptions!C29+$A20)))*(1+(Assumptions!D29+$A20)))*(1+(Assumptions!E29+$A20)))*(1+(Assumptions!F29+$A20)))*Assumptions!F30)*Assumptions!F38)-(((((('Income Statement'!D6*(1+(Assumptions!C29+$A20)))*(1+(Assumptions!D29+$A20)))*(1+(Assumptions!E29+$A20)))*(1+(Assumptions!F29+$A20)))*Assumptions!F30)*Assumptions!F43)-(Assumptions!F44*(((((('Income Statement'!D6*(1+(Assumptions!C29+$A20)))*(1+(Assumptions!D29+$A20)))*(1+(Assumptions!E29+$A20)))*(1+(Assumptions!F29+$A20)))*Assumptions!F30)-(((('Income Statement'!D6*(1+(Assumptions!C29+$A20)))*(1+(Assumptions!D29+$A20)))*(1+(Assumptions!E29+$A20)))*Assumptions!E30)))-(Assumptions!F48*(((((('Income Statement'!D6*(1+(Assumptions!C29+$A20)))*(1+(Assumptions!D29+$A20)))*(1+(Assumptions!E29+$A20)))*(1+(Assumptions!F29+$A20)))*Assumptions!F46)-(((('Income Statement'!D6*(1+(Assumptions!C29+$A20)))*(1+(Assumptions!D29+$A20)))*(1+(Assumptions!E29+$A20)))*Assumptions!E46))))/(1+Assumptions!$C$60)^3.5)+(((((((((('Income Statement'!D6*(1+(Assumptions!C29+$A20)))*(1+(Assumptions!D29+$A20)))*(1+(Assumptions!E29+$A20)))*(1+(Assumptions!F29+$A20)))*(1+(Assumptions!G29+$A20)))*Assumptions!G30)-((((((('Income Statement'!D6*(1+(Assumptions!C29+$A20)))*(1+(Assumptions!D29+$A20)))*(1+(Assumptions!E29+$A20)))*(1+(Assumptions!F29+$A20)))*(1+(Assumptions!G29+$A20)))*(Assumptions!G31+F$18))+((((((('Income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Statement'!D6*(1+(Assumptions!C29+$A20)))*(1+(Assumptions!D29+$A20)))*(1+(Assumptions!E29+$A20)))*(1+(Assumptions!F29+$A20)))*(1+(Assumptions!G29+$A20)))*(Assumptions!G31+F$18))+((((((('Income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Statement'!D6*(1+(Assumptions!C29+$A20)))*(1+(Assumptions!D29+$A20)))*(1+(Assumptions!E29+$A20)))*(1+(Assumptions!F29+$A20)))*Assumptions!F46))))/(1+Assumptions!$C$60)^4.5))+((((((((((('Income Statement'!D6*(1+(Assumptions!C29+$A20)))*(1+(Assumptions!D29+$A20)))*(1+(Assumptions!E29+$A20)))*(1+(Assumptions!F29+$A20)))*(1+(Assumptions!G29+$A20)))*Assumptions!G30)-((((((('Income Statement'!D6*(1+(Assumptions!C29+$A20)))*(1+(Assumptions!D29+$A20)))*(1+(Assumptions!E29+$A20)))*(1+(Assumptions!F29+$A20)))*(1+(Assumptions!G29+$A20)))*(Assumptions!G31+F$18))+((((((('Income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Statement'!D6*(1+(Assumptions!C29+$A20)))*(1+(Assumptions!D29+$A20)))*(1+(Assumptions!E29+$A20)))*(1+(Assumptions!F29+$A20)))*(1+(Assumptions!G29+$A20)))*(Assumptions!G31+F$18))+((((((('Income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Statement'!D6*(1+(Assumptions!C29+$A20)))*(1+(Assumptions!D29+$A20)))*(1+(Assumptions!E29+$A20)))*(1+(Assumptions!F29+$A20)))*Assumptions!F46))))*(1+Assumptions!$C$61)/(Assumptions!$C$60-Assumptions!$C$61))/(1+Assumptions!$C$60)^5))-Assumptions!$C$25)/Assumptions!$C$21</f>
        <v>38.5560794125777</v>
      </c>
    </row>
    <row r="21" customFormat="false" ht="15" hidden="false" customHeight="false" outlineLevel="0" collapsed="false">
      <c r="A21" s="74" t="n">
        <v>0</v>
      </c>
      <c r="B21" s="59" t="n">
        <f aca="false">((((((((('Income Statement'!D6*(1+(Assumptions!C29+$A21)))*Assumptions!C30)-((('Income Statement'!D6*(1+(Assumptions!C29+$A21)))*(Assumptions!C31+B$18))+((('Income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Statement'!D6*(1+(Assumptions!C29+$A21)))*Assumptions!C30)*Assumptions!C38))-MAX(((('Income Statement'!D6*(1+(Assumptions!C29+$A21)))*Assumptions!C30)-((('Income Statement'!D6*(1+(Assumptions!C29+$A21)))*(Assumptions!C31+B$18))+((('Income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Statement'!D6*(1+(Assumptions!C29+$A21)))*Assumptions!C30)*Assumptions!C38)),0)*Assumptions!C42)+((('Income Statement'!D6*(1+(Assumptions!C29+$A21)))*Assumptions!C30)*Assumptions!C38)-((('Income Statement'!D6*(1+(Assumptions!C29+$A21)))*Assumptions!C30)*Assumptions!C43)-(Assumptions!C44*((('Income Statement'!D6*(1+(Assumptions!C29+$A21)))*Assumptions!C30)-'Income Statement'!D9))-(Assumptions!C48*((('Income Statement'!D6*(1+(Assumptions!C29+$A21)))*Assumptions!C46)-'Balance Sheet'!D6)))/(1+Assumptions!$C$60)^0.5)+((((((('Income Statement'!D6*(1+(Assumptions!C29+$A21)))*(1+(Assumptions!D29+$A21)))*Assumptions!D30)-(((('Income Statement'!D6*(1+(Assumptions!C29+$A21)))*(1+(Assumptions!D29+$A21)))*(Assumptions!D31+B$18))+(((('Income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Statement'!D6*(1+(Assumptions!C29+$A21)))*(1+(Assumptions!D29+$A21)))*Assumptions!D30)*Assumptions!D38))-MAX((((('Income Statement'!D6*(1+(Assumptions!C29+$A21)))*(1+(Assumptions!D29+$A21)))*Assumptions!D30)-(((('Income Statement'!D6*(1+(Assumptions!C29+$A21)))*(1+(Assumptions!D29+$A21)))*(Assumptions!D31+B$18))+(((('Income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Statement'!D6*(1+(Assumptions!C29+$A21)))*(1+(Assumptions!D29+$A21)))*Assumptions!D30)*Assumptions!D38)),0)*Assumptions!D42)+(((('Income Statement'!D6*(1+(Assumptions!C29+$A21)))*(1+(Assumptions!D29+$A21)))*Assumptions!D30)*Assumptions!D38)-(((('Income Statement'!D6*(1+(Assumptions!C29+$A21)))*(1+(Assumptions!D29+$A21)))*Assumptions!D30)*Assumptions!D43)-(Assumptions!D44*(((('Income Statement'!D6*(1+(Assumptions!C29+$A21)))*(1+(Assumptions!D29+$A21)))*Assumptions!D30)-(('Income Statement'!D6*(1+(Assumptions!C29+$A21)))*Assumptions!C30)))-(Assumptions!D48*(((('Income Statement'!D6*(1+(Assumptions!C29+$A21)))*(1+(Assumptions!D29+$A21)))*Assumptions!D46)-(('Income Statement'!D6*(1+(Assumptions!C29+$A21)))*Assumptions!C46))))/(1+Assumptions!$C$60)^1.5)+(((((((('Income Statement'!D6*(1+(Assumptions!C29+$A21)))*(1+(Assumptions!D29+$A21)))*(1+(Assumptions!E29+$A21)))*Assumptions!E30)-((((('Income Statement'!D6*(1+(Assumptions!C29+$A21)))*(1+(Assumptions!D29+$A21)))*(1+(Assumptions!E29+$A21)))*(Assumptions!E31+B$18))+((((('Income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Statement'!D6*(1+(Assumptions!C29+$A21)))*(1+(Assumptions!D29+$A21)))*(1+(Assumptions!E29+$A21)))*Assumptions!E30)*Assumptions!E38))-MAX(((((('Income Statement'!D6*(1+(Assumptions!C29+$A21)))*(1+(Assumptions!D29+$A21)))*(1+(Assumptions!E29+$A21)))*Assumptions!E30)-((((('Income Statement'!D6*(1+(Assumptions!C29+$A21)))*(1+(Assumptions!D29+$A21)))*(1+(Assumptions!E29+$A21)))*(Assumptions!E31+B$18))+((((('Income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Statement'!D6*(1+(Assumptions!C29+$A21)))*(1+(Assumptions!D29+$A21)))*(1+(Assumptions!E29+$A21)))*Assumptions!E30)*Assumptions!E38)),0)*Assumptions!E42)+((((('Income Statement'!D6*(1+(Assumptions!C29+$A21)))*(1+(Assumptions!D29+$A21)))*(1+(Assumptions!E29+$A21)))*Assumptions!E30)*Assumptions!E38)-((((('Income Statement'!D6*(1+(Assumptions!C29+$A21)))*(1+(Assumptions!D29+$A21)))*(1+(Assumptions!E29+$A21)))*Assumptions!E30)*Assumptions!E43)-(Assumptions!E44*((((('Income Statement'!D6*(1+(Assumptions!C29+$A21)))*(1+(Assumptions!D29+$A21)))*(1+(Assumptions!E29+$A21)))*Assumptions!E30)-((('Income Statement'!D6*(1+(Assumptions!C29+$A21)))*(1+(Assumptions!D29+$A21)))*Assumptions!D30)))-(Assumptions!E48*((((('Income Statement'!D6*(1+(Assumptions!C29+$A21)))*(1+(Assumptions!D29+$A21)))*(1+(Assumptions!E29+$A21)))*Assumptions!E46)-((('Income Statement'!D6*(1+(Assumptions!C29+$A21)))*(1+(Assumptions!D29+$A21)))*Assumptions!D46))))/(1+Assumptions!$C$60)^2.5)+((((((((('Income Statement'!D6*(1+(Assumptions!C29+$A21)))*(1+(Assumptions!D29+$A21)))*(1+(Assumptions!E29+$A21)))*(1+(Assumptions!F29+$A21)))*Assumptions!F30)-(((((('Income Statement'!D6*(1+(Assumptions!C29+$A21)))*(1+(Assumptions!D29+$A21)))*(1+(Assumptions!E29+$A21)))*(1+(Assumptions!F29+$A21)))*(Assumptions!F31+B$18))+(((((('Income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Statement'!D6*(1+(Assumptions!C29+$A21)))*(1+(Assumptions!D29+$A21)))*(1+(Assumptions!E29+$A21)))*(1+(Assumptions!F29+$A21)))*Assumptions!F30)*Assumptions!F38))-MAX((((((('Income Statement'!D6*(1+(Assumptions!C29+$A21)))*(1+(Assumptions!D29+$A21)))*(1+(Assumptions!E29+$A21)))*(1+(Assumptions!F29+$A21)))*Assumptions!F30)-(((((('Income Statement'!D6*(1+(Assumptions!C29+$A21)))*(1+(Assumptions!D29+$A21)))*(1+(Assumptions!E29+$A21)))*(1+(Assumptions!F29+$A21)))*(Assumptions!F31+B$18))+(((((('Income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Statement'!D6*(1+(Assumptions!C29+$A21)))*(1+(Assumptions!D29+$A21)))*(1+(Assumptions!E29+$A21)))*(1+(Assumptions!F29+$A21)))*Assumptions!F30)*Assumptions!F38)),0)*Assumptions!F42)+(((((('Income Statement'!D6*(1+(Assumptions!C29+$A21)))*(1+(Assumptions!D29+$A21)))*(1+(Assumptions!E29+$A21)))*(1+(Assumptions!F29+$A21)))*Assumptions!F30)*Assumptions!F38)-(((((('Income Statement'!D6*(1+(Assumptions!C29+$A21)))*(1+(Assumptions!D29+$A21)))*(1+(Assumptions!E29+$A21)))*(1+(Assumptions!F29+$A21)))*Assumptions!F30)*Assumptions!F43)-(Assumptions!F44*(((((('Income Statement'!D6*(1+(Assumptions!C29+$A21)))*(1+(Assumptions!D29+$A21)))*(1+(Assumptions!E29+$A21)))*(1+(Assumptions!F29+$A21)))*Assumptions!F30)-(((('Income Statement'!D6*(1+(Assumptions!C29+$A21)))*(1+(Assumptions!D29+$A21)))*(1+(Assumptions!E29+$A21)))*Assumptions!E30)))-(Assumptions!F48*(((((('Income Statement'!D6*(1+(Assumptions!C29+$A21)))*(1+(Assumptions!D29+$A21)))*(1+(Assumptions!E29+$A21)))*(1+(Assumptions!F29+$A21)))*Assumptions!F46)-(((('Income Statement'!D6*(1+(Assumptions!C29+$A21)))*(1+(Assumptions!D29+$A21)))*(1+(Assumptions!E29+$A21)))*Assumptions!E46))))/(1+Assumptions!$C$60)^3.5)+(((((((((('Income Statement'!D6*(1+(Assumptions!C29+$A21)))*(1+(Assumptions!D29+$A21)))*(1+(Assumptions!E29+$A21)))*(1+(Assumptions!F29+$A21)))*(1+(Assumptions!G29+$A21)))*Assumptions!G30)-((((((('Income Statement'!D6*(1+(Assumptions!C29+$A21)))*(1+(Assumptions!D29+$A21)))*(1+(Assumptions!E29+$A21)))*(1+(Assumptions!F29+$A21)))*(1+(Assumptions!G29+$A21)))*(Assumptions!G31+B$18))+((((((('Income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Statement'!D6*(1+(Assumptions!C29+$A21)))*(1+(Assumptions!D29+$A21)))*(1+(Assumptions!E29+$A21)))*(1+(Assumptions!F29+$A21)))*(1+(Assumptions!G29+$A21)))*(Assumptions!G31+B$18))+((((((('Income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Statement'!D6*(1+(Assumptions!C29+$A21)))*(1+(Assumptions!D29+$A21)))*(1+(Assumptions!E29+$A21)))*(1+(Assumptions!F29+$A21)))*Assumptions!F46))))/(1+Assumptions!$C$60)^4.5))+((((((((((('Income Statement'!D6*(1+(Assumptions!C29+$A21)))*(1+(Assumptions!D29+$A21)))*(1+(Assumptions!E29+$A21)))*(1+(Assumptions!F29+$A21)))*(1+(Assumptions!G29+$A21)))*Assumptions!G30)-((((((('Income Statement'!D6*(1+(Assumptions!C29+$A21)))*(1+(Assumptions!D29+$A21)))*(1+(Assumptions!E29+$A21)))*(1+(Assumptions!F29+$A21)))*(1+(Assumptions!G29+$A21)))*(Assumptions!G31+B$18))+((((((('Income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Statement'!D6*(1+(Assumptions!C29+$A21)))*(1+(Assumptions!D29+$A21)))*(1+(Assumptions!E29+$A21)))*(1+(Assumptions!F29+$A21)))*(1+(Assumptions!G29+$A21)))*(Assumptions!G31+B$18))+((((((('Income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Statement'!D6*(1+(Assumptions!C29+$A21)))*(1+(Assumptions!D29+$A21)))*(1+(Assumptions!E29+$A21)))*(1+(Assumptions!F29+$A21)))*Assumptions!F46))))*(1+Assumptions!$C$61)/(Assumptions!$C$60-Assumptions!$C$61))/(1+Assumptions!$C$60)^5))-Assumptions!$C$25)/Assumptions!$C$21</f>
        <v>3.55159744624703</v>
      </c>
      <c r="C21" s="59" t="n">
        <f aca="false">((((((((('Income Statement'!D6*(1+(Assumptions!C29+$A21)))*Assumptions!C30)-((('Income Statement'!D6*(1+(Assumptions!C29+$A21)))*(Assumptions!C31+C$18))+((('Income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Statement'!D6*(1+(Assumptions!C29+$A21)))*Assumptions!C30)*Assumptions!C38))-MAX(((('Income Statement'!D6*(1+(Assumptions!C29+$A21)))*Assumptions!C30)-((('Income Statement'!D6*(1+(Assumptions!C29+$A21)))*(Assumptions!C31+C$18))+((('Income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Statement'!D6*(1+(Assumptions!C29+$A21)))*Assumptions!C30)*Assumptions!C38)),0)*Assumptions!C42)+((('Income Statement'!D6*(1+(Assumptions!C29+$A21)))*Assumptions!C30)*Assumptions!C38)-((('Income Statement'!D6*(1+(Assumptions!C29+$A21)))*Assumptions!C30)*Assumptions!C43)-(Assumptions!C44*((('Income Statement'!D6*(1+(Assumptions!C29+$A21)))*Assumptions!C30)-'Income Statement'!D9))-(Assumptions!C48*((('Income Statement'!D6*(1+(Assumptions!C29+$A21)))*Assumptions!C46)-'Balance Sheet'!D6)))/(1+Assumptions!$C$60)^0.5)+((((((('Income Statement'!D6*(1+(Assumptions!C29+$A21)))*(1+(Assumptions!D29+$A21)))*Assumptions!D30)-(((('Income Statement'!D6*(1+(Assumptions!C29+$A21)))*(1+(Assumptions!D29+$A21)))*(Assumptions!D31+C$18))+(((('Income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Statement'!D6*(1+(Assumptions!C29+$A21)))*(1+(Assumptions!D29+$A21)))*Assumptions!D30)*Assumptions!D38))-MAX((((('Income Statement'!D6*(1+(Assumptions!C29+$A21)))*(1+(Assumptions!D29+$A21)))*Assumptions!D30)-(((('Income Statement'!D6*(1+(Assumptions!C29+$A21)))*(1+(Assumptions!D29+$A21)))*(Assumptions!D31+C$18))+(((('Income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Statement'!D6*(1+(Assumptions!C29+$A21)))*(1+(Assumptions!D29+$A21)))*Assumptions!D30)*Assumptions!D38)),0)*Assumptions!D42)+(((('Income Statement'!D6*(1+(Assumptions!C29+$A21)))*(1+(Assumptions!D29+$A21)))*Assumptions!D30)*Assumptions!D38)-(((('Income Statement'!D6*(1+(Assumptions!C29+$A21)))*(1+(Assumptions!D29+$A21)))*Assumptions!D30)*Assumptions!D43)-(Assumptions!D44*(((('Income Statement'!D6*(1+(Assumptions!C29+$A21)))*(1+(Assumptions!D29+$A21)))*Assumptions!D30)-(('Income Statement'!D6*(1+(Assumptions!C29+$A21)))*Assumptions!C30)))-(Assumptions!D48*(((('Income Statement'!D6*(1+(Assumptions!C29+$A21)))*(1+(Assumptions!D29+$A21)))*Assumptions!D46)-(('Income Statement'!D6*(1+(Assumptions!C29+$A21)))*Assumptions!C46))))/(1+Assumptions!$C$60)^1.5)+(((((((('Income Statement'!D6*(1+(Assumptions!C29+$A21)))*(1+(Assumptions!D29+$A21)))*(1+(Assumptions!E29+$A21)))*Assumptions!E30)-((((('Income Statement'!D6*(1+(Assumptions!C29+$A21)))*(1+(Assumptions!D29+$A21)))*(1+(Assumptions!E29+$A21)))*(Assumptions!E31+C$18))+((((('Income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Statement'!D6*(1+(Assumptions!C29+$A21)))*(1+(Assumptions!D29+$A21)))*(1+(Assumptions!E29+$A21)))*Assumptions!E30)*Assumptions!E38))-MAX(((((('Income Statement'!D6*(1+(Assumptions!C29+$A21)))*(1+(Assumptions!D29+$A21)))*(1+(Assumptions!E29+$A21)))*Assumptions!E30)-((((('Income Statement'!D6*(1+(Assumptions!C29+$A21)))*(1+(Assumptions!D29+$A21)))*(1+(Assumptions!E29+$A21)))*(Assumptions!E31+C$18))+((((('Income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Statement'!D6*(1+(Assumptions!C29+$A21)))*(1+(Assumptions!D29+$A21)))*(1+(Assumptions!E29+$A21)))*Assumptions!E30)*Assumptions!E38)),0)*Assumptions!E42)+((((('Income Statement'!D6*(1+(Assumptions!C29+$A21)))*(1+(Assumptions!D29+$A21)))*(1+(Assumptions!E29+$A21)))*Assumptions!E30)*Assumptions!E38)-((((('Income Statement'!D6*(1+(Assumptions!C29+$A21)))*(1+(Assumptions!D29+$A21)))*(1+(Assumptions!E29+$A21)))*Assumptions!E30)*Assumptions!E43)-(Assumptions!E44*((((('Income Statement'!D6*(1+(Assumptions!C29+$A21)))*(1+(Assumptions!D29+$A21)))*(1+(Assumptions!E29+$A21)))*Assumptions!E30)-((('Income Statement'!D6*(1+(Assumptions!C29+$A21)))*(1+(Assumptions!D29+$A21)))*Assumptions!D30)))-(Assumptions!E48*((((('Income Statement'!D6*(1+(Assumptions!C29+$A21)))*(1+(Assumptions!D29+$A21)))*(1+(Assumptions!E29+$A21)))*Assumptions!E46)-((('Income Statement'!D6*(1+(Assumptions!C29+$A21)))*(1+(Assumptions!D29+$A21)))*Assumptions!D46))))/(1+Assumptions!$C$60)^2.5)+((((((((('Income Statement'!D6*(1+(Assumptions!C29+$A21)))*(1+(Assumptions!D29+$A21)))*(1+(Assumptions!E29+$A21)))*(1+(Assumptions!F29+$A21)))*Assumptions!F30)-(((((('Income Statement'!D6*(1+(Assumptions!C29+$A21)))*(1+(Assumptions!D29+$A21)))*(1+(Assumptions!E29+$A21)))*(1+(Assumptions!F29+$A21)))*(Assumptions!F31+C$18))+(((((('Income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Statement'!D6*(1+(Assumptions!C29+$A21)))*(1+(Assumptions!D29+$A21)))*(1+(Assumptions!E29+$A21)))*(1+(Assumptions!F29+$A21)))*Assumptions!F30)*Assumptions!F38))-MAX((((((('Income Statement'!D6*(1+(Assumptions!C29+$A21)))*(1+(Assumptions!D29+$A21)))*(1+(Assumptions!E29+$A21)))*(1+(Assumptions!F29+$A21)))*Assumptions!F30)-(((((('Income Statement'!D6*(1+(Assumptions!C29+$A21)))*(1+(Assumptions!D29+$A21)))*(1+(Assumptions!E29+$A21)))*(1+(Assumptions!F29+$A21)))*(Assumptions!F31+C$18))+(((((('Income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Statement'!D6*(1+(Assumptions!C29+$A21)))*(1+(Assumptions!D29+$A21)))*(1+(Assumptions!E29+$A21)))*(1+(Assumptions!F29+$A21)))*Assumptions!F30)*Assumptions!F38)),0)*Assumptions!F42)+(((((('Income Statement'!D6*(1+(Assumptions!C29+$A21)))*(1+(Assumptions!D29+$A21)))*(1+(Assumptions!E29+$A21)))*(1+(Assumptions!F29+$A21)))*Assumptions!F30)*Assumptions!F38)-(((((('Income Statement'!D6*(1+(Assumptions!C29+$A21)))*(1+(Assumptions!D29+$A21)))*(1+(Assumptions!E29+$A21)))*(1+(Assumptions!F29+$A21)))*Assumptions!F30)*Assumptions!F43)-(Assumptions!F44*(((((('Income Statement'!D6*(1+(Assumptions!C29+$A21)))*(1+(Assumptions!D29+$A21)))*(1+(Assumptions!E29+$A21)))*(1+(Assumptions!F29+$A21)))*Assumptions!F30)-(((('Income Statement'!D6*(1+(Assumptions!C29+$A21)))*(1+(Assumptions!D29+$A21)))*(1+(Assumptions!E29+$A21)))*Assumptions!E30)))-(Assumptions!F48*(((((('Income Statement'!D6*(1+(Assumptions!C29+$A21)))*(1+(Assumptions!D29+$A21)))*(1+(Assumptions!E29+$A21)))*(1+(Assumptions!F29+$A21)))*Assumptions!F46)-(((('Income Statement'!D6*(1+(Assumptions!C29+$A21)))*(1+(Assumptions!D29+$A21)))*(1+(Assumptions!E29+$A21)))*Assumptions!E46))))/(1+Assumptions!$C$60)^3.5)+(((((((((('Income Statement'!D6*(1+(Assumptions!C29+$A21)))*(1+(Assumptions!D29+$A21)))*(1+(Assumptions!E29+$A21)))*(1+(Assumptions!F29+$A21)))*(1+(Assumptions!G29+$A21)))*Assumptions!G30)-((((((('Income Statement'!D6*(1+(Assumptions!C29+$A21)))*(1+(Assumptions!D29+$A21)))*(1+(Assumptions!E29+$A21)))*(1+(Assumptions!F29+$A21)))*(1+(Assumptions!G29+$A21)))*(Assumptions!G31+C$18))+((((((('Income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Statement'!D6*(1+(Assumptions!C29+$A21)))*(1+(Assumptions!D29+$A21)))*(1+(Assumptions!E29+$A21)))*(1+(Assumptions!F29+$A21)))*(1+(Assumptions!G29+$A21)))*(Assumptions!G31+C$18))+((((((('Income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Statement'!D6*(1+(Assumptions!C29+$A21)))*(1+(Assumptions!D29+$A21)))*(1+(Assumptions!E29+$A21)))*(1+(Assumptions!F29+$A21)))*Assumptions!F46))))/(1+Assumptions!$C$60)^4.5))+((((((((((('Income Statement'!D6*(1+(Assumptions!C29+$A21)))*(1+(Assumptions!D29+$A21)))*(1+(Assumptions!E29+$A21)))*(1+(Assumptions!F29+$A21)))*(1+(Assumptions!G29+$A21)))*Assumptions!G30)-((((((('Income Statement'!D6*(1+(Assumptions!C29+$A21)))*(1+(Assumptions!D29+$A21)))*(1+(Assumptions!E29+$A21)))*(1+(Assumptions!F29+$A21)))*(1+(Assumptions!G29+$A21)))*(Assumptions!G31+C$18))+((((((('Income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Statement'!D6*(1+(Assumptions!C29+$A21)))*(1+(Assumptions!D29+$A21)))*(1+(Assumptions!E29+$A21)))*(1+(Assumptions!F29+$A21)))*(1+(Assumptions!G29+$A21)))*(Assumptions!G31+C$18))+((((((('Income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Statement'!D6*(1+(Assumptions!C29+$A21)))*(1+(Assumptions!D29+$A21)))*(1+(Assumptions!E29+$A21)))*(1+(Assumptions!F29+$A21)))*Assumptions!F46))))*(1+Assumptions!$C$61)/(Assumptions!$C$60-Assumptions!$C$61))/(1+Assumptions!$C$60)^5))-Assumptions!$C$25)/Assumptions!$C$21</f>
        <v>13.4551049248602</v>
      </c>
      <c r="D21" s="72" t="n">
        <f aca="false">((((((((('Income Statement'!D6*(1+(Assumptions!C29+$A21)))*Assumptions!C30)-((('Income Statement'!D6*(1+(Assumptions!C29+$A21)))*(Assumptions!C31+D$18))+((('Income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Statement'!D6*(1+(Assumptions!C29+$A21)))*Assumptions!C30)*Assumptions!C38))-MAX(((('Income Statement'!D6*(1+(Assumptions!C29+$A21)))*Assumptions!C30)-((('Income Statement'!D6*(1+(Assumptions!C29+$A21)))*(Assumptions!C31+D$18))+((('Income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Statement'!D6*(1+(Assumptions!C29+$A21)))*Assumptions!C30)*Assumptions!C38)),0)*Assumptions!C42)+((('Income Statement'!D6*(1+(Assumptions!C29+$A21)))*Assumptions!C30)*Assumptions!C38)-((('Income Statement'!D6*(1+(Assumptions!C29+$A21)))*Assumptions!C30)*Assumptions!C43)-(Assumptions!C44*((('Income Statement'!D6*(1+(Assumptions!C29+$A21)))*Assumptions!C30)-'Income Statement'!D9))-(Assumptions!C48*((('Income Statement'!D6*(1+(Assumptions!C29+$A21)))*Assumptions!C46)-'Balance Sheet'!D6)))/(1+Assumptions!$C$60)^0.5)+((((((('Income Statement'!D6*(1+(Assumptions!C29+$A21)))*(1+(Assumptions!D29+$A21)))*Assumptions!D30)-(((('Income Statement'!D6*(1+(Assumptions!C29+$A21)))*(1+(Assumptions!D29+$A21)))*(Assumptions!D31+D$18))+(((('Income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Statement'!D6*(1+(Assumptions!C29+$A21)))*(1+(Assumptions!D29+$A21)))*Assumptions!D30)*Assumptions!D38))-MAX((((('Income Statement'!D6*(1+(Assumptions!C29+$A21)))*(1+(Assumptions!D29+$A21)))*Assumptions!D30)-(((('Income Statement'!D6*(1+(Assumptions!C29+$A21)))*(1+(Assumptions!D29+$A21)))*(Assumptions!D31+D$18))+(((('Income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Statement'!D6*(1+(Assumptions!C29+$A21)))*(1+(Assumptions!D29+$A21)))*Assumptions!D30)*Assumptions!D38)),0)*Assumptions!D42)+(((('Income Statement'!D6*(1+(Assumptions!C29+$A21)))*(1+(Assumptions!D29+$A21)))*Assumptions!D30)*Assumptions!D38)-(((('Income Statement'!D6*(1+(Assumptions!C29+$A21)))*(1+(Assumptions!D29+$A21)))*Assumptions!D30)*Assumptions!D43)-(Assumptions!D44*(((('Income Statement'!D6*(1+(Assumptions!C29+$A21)))*(1+(Assumptions!D29+$A21)))*Assumptions!D30)-(('Income Statement'!D6*(1+(Assumptions!C29+$A21)))*Assumptions!C30)))-(Assumptions!D48*(((('Income Statement'!D6*(1+(Assumptions!C29+$A21)))*(1+(Assumptions!D29+$A21)))*Assumptions!D46)-(('Income Statement'!D6*(1+(Assumptions!C29+$A21)))*Assumptions!C46))))/(1+Assumptions!$C$60)^1.5)+(((((((('Income Statement'!D6*(1+(Assumptions!C29+$A21)))*(1+(Assumptions!D29+$A21)))*(1+(Assumptions!E29+$A21)))*Assumptions!E30)-((((('Income Statement'!D6*(1+(Assumptions!C29+$A21)))*(1+(Assumptions!D29+$A21)))*(1+(Assumptions!E29+$A21)))*(Assumptions!E31+D$18))+((((('Income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Statement'!D6*(1+(Assumptions!C29+$A21)))*(1+(Assumptions!D29+$A21)))*(1+(Assumptions!E29+$A21)))*Assumptions!E30)*Assumptions!E38))-MAX(((((('Income Statement'!D6*(1+(Assumptions!C29+$A21)))*(1+(Assumptions!D29+$A21)))*(1+(Assumptions!E29+$A21)))*Assumptions!E30)-((((('Income Statement'!D6*(1+(Assumptions!C29+$A21)))*(1+(Assumptions!D29+$A21)))*(1+(Assumptions!E29+$A21)))*(Assumptions!E31+D$18))+((((('Income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Statement'!D6*(1+(Assumptions!C29+$A21)))*(1+(Assumptions!D29+$A21)))*(1+(Assumptions!E29+$A21)))*Assumptions!E30)*Assumptions!E38)),0)*Assumptions!E42)+((((('Income Statement'!D6*(1+(Assumptions!C29+$A21)))*(1+(Assumptions!D29+$A21)))*(1+(Assumptions!E29+$A21)))*Assumptions!E30)*Assumptions!E38)-((((('Income Statement'!D6*(1+(Assumptions!C29+$A21)))*(1+(Assumptions!D29+$A21)))*(1+(Assumptions!E29+$A21)))*Assumptions!E30)*Assumptions!E43)-(Assumptions!E44*((((('Income Statement'!D6*(1+(Assumptions!C29+$A21)))*(1+(Assumptions!D29+$A21)))*(1+(Assumptions!E29+$A21)))*Assumptions!E30)-((('Income Statement'!D6*(1+(Assumptions!C29+$A21)))*(1+(Assumptions!D29+$A21)))*Assumptions!D30)))-(Assumptions!E48*((((('Income Statement'!D6*(1+(Assumptions!C29+$A21)))*(1+(Assumptions!D29+$A21)))*(1+(Assumptions!E29+$A21)))*Assumptions!E46)-((('Income Statement'!D6*(1+(Assumptions!C29+$A21)))*(1+(Assumptions!D29+$A21)))*Assumptions!D46))))/(1+Assumptions!$C$60)^2.5)+((((((((('Income Statement'!D6*(1+(Assumptions!C29+$A21)))*(1+(Assumptions!D29+$A21)))*(1+(Assumptions!E29+$A21)))*(1+(Assumptions!F29+$A21)))*Assumptions!F30)-(((((('Income Statement'!D6*(1+(Assumptions!C29+$A21)))*(1+(Assumptions!D29+$A21)))*(1+(Assumptions!E29+$A21)))*(1+(Assumptions!F29+$A21)))*(Assumptions!F31+D$18))+(((((('Income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Statement'!D6*(1+(Assumptions!C29+$A21)))*(1+(Assumptions!D29+$A21)))*(1+(Assumptions!E29+$A21)))*(1+(Assumptions!F29+$A21)))*Assumptions!F30)*Assumptions!F38))-MAX((((((('Income Statement'!D6*(1+(Assumptions!C29+$A21)))*(1+(Assumptions!D29+$A21)))*(1+(Assumptions!E29+$A21)))*(1+(Assumptions!F29+$A21)))*Assumptions!F30)-(((((('Income Statement'!D6*(1+(Assumptions!C29+$A21)))*(1+(Assumptions!D29+$A21)))*(1+(Assumptions!E29+$A21)))*(1+(Assumptions!F29+$A21)))*(Assumptions!F31+D$18))+(((((('Income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Statement'!D6*(1+(Assumptions!C29+$A21)))*(1+(Assumptions!D29+$A21)))*(1+(Assumptions!E29+$A21)))*(1+(Assumptions!F29+$A21)))*Assumptions!F30)*Assumptions!F38)),0)*Assumptions!F42)+(((((('Income Statement'!D6*(1+(Assumptions!C29+$A21)))*(1+(Assumptions!D29+$A21)))*(1+(Assumptions!E29+$A21)))*(1+(Assumptions!F29+$A21)))*Assumptions!F30)*Assumptions!F38)-(((((('Income Statement'!D6*(1+(Assumptions!C29+$A21)))*(1+(Assumptions!D29+$A21)))*(1+(Assumptions!E29+$A21)))*(1+(Assumptions!F29+$A21)))*Assumptions!F30)*Assumptions!F43)-(Assumptions!F44*(((((('Income Statement'!D6*(1+(Assumptions!C29+$A21)))*(1+(Assumptions!D29+$A21)))*(1+(Assumptions!E29+$A21)))*(1+(Assumptions!F29+$A21)))*Assumptions!F30)-(((('Income Statement'!D6*(1+(Assumptions!C29+$A21)))*(1+(Assumptions!D29+$A21)))*(1+(Assumptions!E29+$A21)))*Assumptions!E30)))-(Assumptions!F48*(((((('Income Statement'!D6*(1+(Assumptions!C29+$A21)))*(1+(Assumptions!D29+$A21)))*(1+(Assumptions!E29+$A21)))*(1+(Assumptions!F29+$A21)))*Assumptions!F46)-(((('Income Statement'!D6*(1+(Assumptions!C29+$A21)))*(1+(Assumptions!D29+$A21)))*(1+(Assumptions!E29+$A21)))*Assumptions!E46))))/(1+Assumptions!$C$60)^3.5)+(((((((((('Income Statement'!D6*(1+(Assumptions!C29+$A21)))*(1+(Assumptions!D29+$A21)))*(1+(Assumptions!E29+$A21)))*(1+(Assumptions!F29+$A21)))*(1+(Assumptions!G29+$A21)))*Assumptions!G30)-((((((('Income Statement'!D6*(1+(Assumptions!C29+$A21)))*(1+(Assumptions!D29+$A21)))*(1+(Assumptions!E29+$A21)))*(1+(Assumptions!F29+$A21)))*(1+(Assumptions!G29+$A21)))*(Assumptions!G31+D$18))+((((((('Income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Statement'!D6*(1+(Assumptions!C29+$A21)))*(1+(Assumptions!D29+$A21)))*(1+(Assumptions!E29+$A21)))*(1+(Assumptions!F29+$A21)))*(1+(Assumptions!G29+$A21)))*(Assumptions!G31+D$18))+((((((('Income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Statement'!D6*(1+(Assumptions!C29+$A21)))*(1+(Assumptions!D29+$A21)))*(1+(Assumptions!E29+$A21)))*(1+(Assumptions!F29+$A21)))*Assumptions!F46))))/(1+Assumptions!$C$60)^4.5))+((((((((((('Income Statement'!D6*(1+(Assumptions!C29+$A21)))*(1+(Assumptions!D29+$A21)))*(1+(Assumptions!E29+$A21)))*(1+(Assumptions!F29+$A21)))*(1+(Assumptions!G29+$A21)))*Assumptions!G30)-((((((('Income Statement'!D6*(1+(Assumptions!C29+$A21)))*(1+(Assumptions!D29+$A21)))*(1+(Assumptions!E29+$A21)))*(1+(Assumptions!F29+$A21)))*(1+(Assumptions!G29+$A21)))*(Assumptions!G31+D$18))+((((((('Income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Statement'!D6*(1+(Assumptions!C29+$A21)))*(1+(Assumptions!D29+$A21)))*(1+(Assumptions!E29+$A21)))*(1+(Assumptions!F29+$A21)))*(1+(Assumptions!G29+$A21)))*(Assumptions!G31+D$18))+((((((('Income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Statement'!D6*(1+(Assumptions!C29+$A21)))*(1+(Assumptions!D29+$A21)))*(1+(Assumptions!E29+$A21)))*(1+(Assumptions!F29+$A21)))*Assumptions!F46))))*(1+Assumptions!$C$61)/(Assumptions!$C$60-Assumptions!$C$61))/(1+Assumptions!$C$60)^5))-Assumptions!$C$25)/Assumptions!$C$21</f>
        <v>23.1023197586095</v>
      </c>
      <c r="E21" s="59" t="n">
        <f aca="false">((((((((('Income Statement'!D6*(1+(Assumptions!C29+$A21)))*Assumptions!C30)-((('Income Statement'!D6*(1+(Assumptions!C29+$A21)))*(Assumptions!C31+E$18))+((('Income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Statement'!D6*(1+(Assumptions!C29+$A21)))*Assumptions!C30)*Assumptions!C38))-MAX(((('Income Statement'!D6*(1+(Assumptions!C29+$A21)))*Assumptions!C30)-((('Income Statement'!D6*(1+(Assumptions!C29+$A21)))*(Assumptions!C31+E$18))+((('Income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Statement'!D6*(1+(Assumptions!C29+$A21)))*Assumptions!C30)*Assumptions!C38)),0)*Assumptions!C42)+((('Income Statement'!D6*(1+(Assumptions!C29+$A21)))*Assumptions!C30)*Assumptions!C38)-((('Income Statement'!D6*(1+(Assumptions!C29+$A21)))*Assumptions!C30)*Assumptions!C43)-(Assumptions!C44*((('Income Statement'!D6*(1+(Assumptions!C29+$A21)))*Assumptions!C30)-'Income Statement'!D9))-(Assumptions!C48*((('Income Statement'!D6*(1+(Assumptions!C29+$A21)))*Assumptions!C46)-'Balance Sheet'!D6)))/(1+Assumptions!$C$60)^0.5)+((((((('Income Statement'!D6*(1+(Assumptions!C29+$A21)))*(1+(Assumptions!D29+$A21)))*Assumptions!D30)-(((('Income Statement'!D6*(1+(Assumptions!C29+$A21)))*(1+(Assumptions!D29+$A21)))*(Assumptions!D31+E$18))+(((('Income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Statement'!D6*(1+(Assumptions!C29+$A21)))*(1+(Assumptions!D29+$A21)))*Assumptions!D30)*Assumptions!D38))-MAX((((('Income Statement'!D6*(1+(Assumptions!C29+$A21)))*(1+(Assumptions!D29+$A21)))*Assumptions!D30)-(((('Income Statement'!D6*(1+(Assumptions!C29+$A21)))*(1+(Assumptions!D29+$A21)))*(Assumptions!D31+E$18))+(((('Income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Statement'!D6*(1+(Assumptions!C29+$A21)))*(1+(Assumptions!D29+$A21)))*Assumptions!D30)*Assumptions!D38)),0)*Assumptions!D42)+(((('Income Statement'!D6*(1+(Assumptions!C29+$A21)))*(1+(Assumptions!D29+$A21)))*Assumptions!D30)*Assumptions!D38)-(((('Income Statement'!D6*(1+(Assumptions!C29+$A21)))*(1+(Assumptions!D29+$A21)))*Assumptions!D30)*Assumptions!D43)-(Assumptions!D44*(((('Income Statement'!D6*(1+(Assumptions!C29+$A21)))*(1+(Assumptions!D29+$A21)))*Assumptions!D30)-(('Income Statement'!D6*(1+(Assumptions!C29+$A21)))*Assumptions!C30)))-(Assumptions!D48*(((('Income Statement'!D6*(1+(Assumptions!C29+$A21)))*(1+(Assumptions!D29+$A21)))*Assumptions!D46)-(('Income Statement'!D6*(1+(Assumptions!C29+$A21)))*Assumptions!C46))))/(1+Assumptions!$C$60)^1.5)+(((((((('Income Statement'!D6*(1+(Assumptions!C29+$A21)))*(1+(Assumptions!D29+$A21)))*(1+(Assumptions!E29+$A21)))*Assumptions!E30)-((((('Income Statement'!D6*(1+(Assumptions!C29+$A21)))*(1+(Assumptions!D29+$A21)))*(1+(Assumptions!E29+$A21)))*(Assumptions!E31+E$18))+((((('Income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Statement'!D6*(1+(Assumptions!C29+$A21)))*(1+(Assumptions!D29+$A21)))*(1+(Assumptions!E29+$A21)))*Assumptions!E30)*Assumptions!E38))-MAX(((((('Income Statement'!D6*(1+(Assumptions!C29+$A21)))*(1+(Assumptions!D29+$A21)))*(1+(Assumptions!E29+$A21)))*Assumptions!E30)-((((('Income Statement'!D6*(1+(Assumptions!C29+$A21)))*(1+(Assumptions!D29+$A21)))*(1+(Assumptions!E29+$A21)))*(Assumptions!E31+E$18))+((((('Income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Statement'!D6*(1+(Assumptions!C29+$A21)))*(1+(Assumptions!D29+$A21)))*(1+(Assumptions!E29+$A21)))*Assumptions!E30)*Assumptions!E38)),0)*Assumptions!E42)+((((('Income Statement'!D6*(1+(Assumptions!C29+$A21)))*(1+(Assumptions!D29+$A21)))*(1+(Assumptions!E29+$A21)))*Assumptions!E30)*Assumptions!E38)-((((('Income Statement'!D6*(1+(Assumptions!C29+$A21)))*(1+(Assumptions!D29+$A21)))*(1+(Assumptions!E29+$A21)))*Assumptions!E30)*Assumptions!E43)-(Assumptions!E44*((((('Income Statement'!D6*(1+(Assumptions!C29+$A21)))*(1+(Assumptions!D29+$A21)))*(1+(Assumptions!E29+$A21)))*Assumptions!E30)-((('Income Statement'!D6*(1+(Assumptions!C29+$A21)))*(1+(Assumptions!D29+$A21)))*Assumptions!D30)))-(Assumptions!E48*((((('Income Statement'!D6*(1+(Assumptions!C29+$A21)))*(1+(Assumptions!D29+$A21)))*(1+(Assumptions!E29+$A21)))*Assumptions!E46)-((('Income Statement'!D6*(1+(Assumptions!C29+$A21)))*(1+(Assumptions!D29+$A21)))*Assumptions!D46))))/(1+Assumptions!$C$60)^2.5)+((((((((('Income Statement'!D6*(1+(Assumptions!C29+$A21)))*(1+(Assumptions!D29+$A21)))*(1+(Assumptions!E29+$A21)))*(1+(Assumptions!F29+$A21)))*Assumptions!F30)-(((((('Income Statement'!D6*(1+(Assumptions!C29+$A21)))*(1+(Assumptions!D29+$A21)))*(1+(Assumptions!E29+$A21)))*(1+(Assumptions!F29+$A21)))*(Assumptions!F31+E$18))+(((((('Income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Statement'!D6*(1+(Assumptions!C29+$A21)))*(1+(Assumptions!D29+$A21)))*(1+(Assumptions!E29+$A21)))*(1+(Assumptions!F29+$A21)))*Assumptions!F30)*Assumptions!F38))-MAX((((((('Income Statement'!D6*(1+(Assumptions!C29+$A21)))*(1+(Assumptions!D29+$A21)))*(1+(Assumptions!E29+$A21)))*(1+(Assumptions!F29+$A21)))*Assumptions!F30)-(((((('Income Statement'!D6*(1+(Assumptions!C29+$A21)))*(1+(Assumptions!D29+$A21)))*(1+(Assumptions!E29+$A21)))*(1+(Assumptions!F29+$A21)))*(Assumptions!F31+E$18))+(((((('Income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Statement'!D6*(1+(Assumptions!C29+$A21)))*(1+(Assumptions!D29+$A21)))*(1+(Assumptions!E29+$A21)))*(1+(Assumptions!F29+$A21)))*Assumptions!F30)*Assumptions!F38)),0)*Assumptions!F42)+(((((('Income Statement'!D6*(1+(Assumptions!C29+$A21)))*(1+(Assumptions!D29+$A21)))*(1+(Assumptions!E29+$A21)))*(1+(Assumptions!F29+$A21)))*Assumptions!F30)*Assumptions!F38)-(((((('Income Statement'!D6*(1+(Assumptions!C29+$A21)))*(1+(Assumptions!D29+$A21)))*(1+(Assumptions!E29+$A21)))*(1+(Assumptions!F29+$A21)))*Assumptions!F30)*Assumptions!F43)-(Assumptions!F44*(((((('Income Statement'!D6*(1+(Assumptions!C29+$A21)))*(1+(Assumptions!D29+$A21)))*(1+(Assumptions!E29+$A21)))*(1+(Assumptions!F29+$A21)))*Assumptions!F30)-(((('Income Statement'!D6*(1+(Assumptions!C29+$A21)))*(1+(Assumptions!D29+$A21)))*(1+(Assumptions!E29+$A21)))*Assumptions!E30)))-(Assumptions!F48*(((((('Income Statement'!D6*(1+(Assumptions!C29+$A21)))*(1+(Assumptions!D29+$A21)))*(1+(Assumptions!E29+$A21)))*(1+(Assumptions!F29+$A21)))*Assumptions!F46)-(((('Income Statement'!D6*(1+(Assumptions!C29+$A21)))*(1+(Assumptions!D29+$A21)))*(1+(Assumptions!E29+$A21)))*Assumptions!E46))))/(1+Assumptions!$C$60)^3.5)+(((((((((('Income Statement'!D6*(1+(Assumptions!C29+$A21)))*(1+(Assumptions!D29+$A21)))*(1+(Assumptions!E29+$A21)))*(1+(Assumptions!F29+$A21)))*(1+(Assumptions!G29+$A21)))*Assumptions!G30)-((((((('Income Statement'!D6*(1+(Assumptions!C29+$A21)))*(1+(Assumptions!D29+$A21)))*(1+(Assumptions!E29+$A21)))*(1+(Assumptions!F29+$A21)))*(1+(Assumptions!G29+$A21)))*(Assumptions!G31+E$18))+((((((('Income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Statement'!D6*(1+(Assumptions!C29+$A21)))*(1+(Assumptions!D29+$A21)))*(1+(Assumptions!E29+$A21)))*(1+(Assumptions!F29+$A21)))*(1+(Assumptions!G29+$A21)))*(Assumptions!G31+E$18))+((((((('Income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Statement'!D6*(1+(Assumptions!C29+$A21)))*(1+(Assumptions!D29+$A21)))*(1+(Assumptions!E29+$A21)))*(1+(Assumptions!F29+$A21)))*Assumptions!F46))))/(1+Assumptions!$C$60)^4.5))+((((((((((('Income Statement'!D6*(1+(Assumptions!C29+$A21)))*(1+(Assumptions!D29+$A21)))*(1+(Assumptions!E29+$A21)))*(1+(Assumptions!F29+$A21)))*(1+(Assumptions!G29+$A21)))*Assumptions!G30)-((((((('Income Statement'!D6*(1+(Assumptions!C29+$A21)))*(1+(Assumptions!D29+$A21)))*(1+(Assumptions!E29+$A21)))*(1+(Assumptions!F29+$A21)))*(1+(Assumptions!G29+$A21)))*(Assumptions!G31+E$18))+((((((('Income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Statement'!D6*(1+(Assumptions!C29+$A21)))*(1+(Assumptions!D29+$A21)))*(1+(Assumptions!E29+$A21)))*(1+(Assumptions!F29+$A21)))*(1+(Assumptions!G29+$A21)))*(Assumptions!G31+E$18))+((((((('Income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Statement'!D6*(1+(Assumptions!C29+$A21)))*(1+(Assumptions!D29+$A21)))*(1+(Assumptions!E29+$A21)))*(1+(Assumptions!F29+$A21)))*Assumptions!F46))))*(1+Assumptions!$C$61)/(Assumptions!$C$60-Assumptions!$C$61))/(1+Assumptions!$C$60)^5))-Assumptions!$C$25)/Assumptions!$C$21</f>
        <v>32.6862067206145</v>
      </c>
      <c r="F21" s="59" t="n">
        <f aca="false">((((((((('Income Statement'!D6*(1+(Assumptions!C29+$A21)))*Assumptions!C30)-((('Income Statement'!D6*(1+(Assumptions!C29+$A21)))*(Assumptions!C31+F$18))+((('Income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Statement'!D6*(1+(Assumptions!C29+$A21)))*Assumptions!C30)*Assumptions!C38))-MAX(((('Income Statement'!D6*(1+(Assumptions!C29+$A21)))*Assumptions!C30)-((('Income Statement'!D6*(1+(Assumptions!C29+$A21)))*(Assumptions!C31+F$18))+((('Income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Statement'!D6*(1+(Assumptions!C29+$A21)))*Assumptions!C30)*Assumptions!C38)),0)*Assumptions!C42)+((('Income Statement'!D6*(1+(Assumptions!C29+$A21)))*Assumptions!C30)*Assumptions!C38)-((('Income Statement'!D6*(1+(Assumptions!C29+$A21)))*Assumptions!C30)*Assumptions!C43)-(Assumptions!C44*((('Income Statement'!D6*(1+(Assumptions!C29+$A21)))*Assumptions!C30)-'Income Statement'!D9))-(Assumptions!C48*((('Income Statement'!D6*(1+(Assumptions!C29+$A21)))*Assumptions!C46)-'Balance Sheet'!D6)))/(1+Assumptions!$C$60)^0.5)+((((((('Income Statement'!D6*(1+(Assumptions!C29+$A21)))*(1+(Assumptions!D29+$A21)))*Assumptions!D30)-(((('Income Statement'!D6*(1+(Assumptions!C29+$A21)))*(1+(Assumptions!D29+$A21)))*(Assumptions!D31+F$18))+(((('Income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Statement'!D6*(1+(Assumptions!C29+$A21)))*(1+(Assumptions!D29+$A21)))*Assumptions!D30)*Assumptions!D38))-MAX((((('Income Statement'!D6*(1+(Assumptions!C29+$A21)))*(1+(Assumptions!D29+$A21)))*Assumptions!D30)-(((('Income Statement'!D6*(1+(Assumptions!C29+$A21)))*(1+(Assumptions!D29+$A21)))*(Assumptions!D31+F$18))+(((('Income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Statement'!D6*(1+(Assumptions!C29+$A21)))*(1+(Assumptions!D29+$A21)))*Assumptions!D30)*Assumptions!D38)),0)*Assumptions!D42)+(((('Income Statement'!D6*(1+(Assumptions!C29+$A21)))*(1+(Assumptions!D29+$A21)))*Assumptions!D30)*Assumptions!D38)-(((('Income Statement'!D6*(1+(Assumptions!C29+$A21)))*(1+(Assumptions!D29+$A21)))*Assumptions!D30)*Assumptions!D43)-(Assumptions!D44*(((('Income Statement'!D6*(1+(Assumptions!C29+$A21)))*(1+(Assumptions!D29+$A21)))*Assumptions!D30)-(('Income Statement'!D6*(1+(Assumptions!C29+$A21)))*Assumptions!C30)))-(Assumptions!D48*(((('Income Statement'!D6*(1+(Assumptions!C29+$A21)))*(1+(Assumptions!D29+$A21)))*Assumptions!D46)-(('Income Statement'!D6*(1+(Assumptions!C29+$A21)))*Assumptions!C46))))/(1+Assumptions!$C$60)^1.5)+(((((((('Income Statement'!D6*(1+(Assumptions!C29+$A21)))*(1+(Assumptions!D29+$A21)))*(1+(Assumptions!E29+$A21)))*Assumptions!E30)-((((('Income Statement'!D6*(1+(Assumptions!C29+$A21)))*(1+(Assumptions!D29+$A21)))*(1+(Assumptions!E29+$A21)))*(Assumptions!E31+F$18))+((((('Income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Statement'!D6*(1+(Assumptions!C29+$A21)))*(1+(Assumptions!D29+$A21)))*(1+(Assumptions!E29+$A21)))*Assumptions!E30)*Assumptions!E38))-MAX(((((('Income Statement'!D6*(1+(Assumptions!C29+$A21)))*(1+(Assumptions!D29+$A21)))*(1+(Assumptions!E29+$A21)))*Assumptions!E30)-((((('Income Statement'!D6*(1+(Assumptions!C29+$A21)))*(1+(Assumptions!D29+$A21)))*(1+(Assumptions!E29+$A21)))*(Assumptions!E31+F$18))+((((('Income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Statement'!D6*(1+(Assumptions!C29+$A21)))*(1+(Assumptions!D29+$A21)))*(1+(Assumptions!E29+$A21)))*Assumptions!E30)*Assumptions!E38)),0)*Assumptions!E42)+((((('Income Statement'!D6*(1+(Assumptions!C29+$A21)))*(1+(Assumptions!D29+$A21)))*(1+(Assumptions!E29+$A21)))*Assumptions!E30)*Assumptions!E38)-((((('Income Statement'!D6*(1+(Assumptions!C29+$A21)))*(1+(Assumptions!D29+$A21)))*(1+(Assumptions!E29+$A21)))*Assumptions!E30)*Assumptions!E43)-(Assumptions!E44*((((('Income Statement'!D6*(1+(Assumptions!C29+$A21)))*(1+(Assumptions!D29+$A21)))*(1+(Assumptions!E29+$A21)))*Assumptions!E30)-((('Income Statement'!D6*(1+(Assumptions!C29+$A21)))*(1+(Assumptions!D29+$A21)))*Assumptions!D30)))-(Assumptions!E48*((((('Income Statement'!D6*(1+(Assumptions!C29+$A21)))*(1+(Assumptions!D29+$A21)))*(1+(Assumptions!E29+$A21)))*Assumptions!E46)-((('Income Statement'!D6*(1+(Assumptions!C29+$A21)))*(1+(Assumptions!D29+$A21)))*Assumptions!D46))))/(1+Assumptions!$C$60)^2.5)+((((((((('Income Statement'!D6*(1+(Assumptions!C29+$A21)))*(1+(Assumptions!D29+$A21)))*(1+(Assumptions!E29+$A21)))*(1+(Assumptions!F29+$A21)))*Assumptions!F30)-(((((('Income Statement'!D6*(1+(Assumptions!C29+$A21)))*(1+(Assumptions!D29+$A21)))*(1+(Assumptions!E29+$A21)))*(1+(Assumptions!F29+$A21)))*(Assumptions!F31+F$18))+(((((('Income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Statement'!D6*(1+(Assumptions!C29+$A21)))*(1+(Assumptions!D29+$A21)))*(1+(Assumptions!E29+$A21)))*(1+(Assumptions!F29+$A21)))*Assumptions!F30)*Assumptions!F38))-MAX((((((('Income Statement'!D6*(1+(Assumptions!C29+$A21)))*(1+(Assumptions!D29+$A21)))*(1+(Assumptions!E29+$A21)))*(1+(Assumptions!F29+$A21)))*Assumptions!F30)-(((((('Income Statement'!D6*(1+(Assumptions!C29+$A21)))*(1+(Assumptions!D29+$A21)))*(1+(Assumptions!E29+$A21)))*(1+(Assumptions!F29+$A21)))*(Assumptions!F31+F$18))+(((((('Income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Statement'!D6*(1+(Assumptions!C29+$A21)))*(1+(Assumptions!D29+$A21)))*(1+(Assumptions!E29+$A21)))*(1+(Assumptions!F29+$A21)))*Assumptions!F30)*Assumptions!F38)),0)*Assumptions!F42)+(((((('Income Statement'!D6*(1+(Assumptions!C29+$A21)))*(1+(Assumptions!D29+$A21)))*(1+(Assumptions!E29+$A21)))*(1+(Assumptions!F29+$A21)))*Assumptions!F30)*Assumptions!F38)-(((((('Income Statement'!D6*(1+(Assumptions!C29+$A21)))*(1+(Assumptions!D29+$A21)))*(1+(Assumptions!E29+$A21)))*(1+(Assumptions!F29+$A21)))*Assumptions!F30)*Assumptions!F43)-(Assumptions!F44*(((((('Income Statement'!D6*(1+(Assumptions!C29+$A21)))*(1+(Assumptions!D29+$A21)))*(1+(Assumptions!E29+$A21)))*(1+(Assumptions!F29+$A21)))*Assumptions!F30)-(((('Income Statement'!D6*(1+(Assumptions!C29+$A21)))*(1+(Assumptions!D29+$A21)))*(1+(Assumptions!E29+$A21)))*Assumptions!E30)))-(Assumptions!F48*(((((('Income Statement'!D6*(1+(Assumptions!C29+$A21)))*(1+(Assumptions!D29+$A21)))*(1+(Assumptions!E29+$A21)))*(1+(Assumptions!F29+$A21)))*Assumptions!F46)-(((('Income Statement'!D6*(1+(Assumptions!C29+$A21)))*(1+(Assumptions!D29+$A21)))*(1+(Assumptions!E29+$A21)))*Assumptions!E46))))/(1+Assumptions!$C$60)^3.5)+(((((((((('Income Statement'!D6*(1+(Assumptions!C29+$A21)))*(1+(Assumptions!D29+$A21)))*(1+(Assumptions!E29+$A21)))*(1+(Assumptions!F29+$A21)))*(1+(Assumptions!G29+$A21)))*Assumptions!G30)-((((((('Income Statement'!D6*(1+(Assumptions!C29+$A21)))*(1+(Assumptions!D29+$A21)))*(1+(Assumptions!E29+$A21)))*(1+(Assumptions!F29+$A21)))*(1+(Assumptions!G29+$A21)))*(Assumptions!G31+F$18))+((((((('Income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Statement'!D6*(1+(Assumptions!C29+$A21)))*(1+(Assumptions!D29+$A21)))*(1+(Assumptions!E29+$A21)))*(1+(Assumptions!F29+$A21)))*(1+(Assumptions!G29+$A21)))*(Assumptions!G31+F$18))+((((((('Income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Statement'!D6*(1+(Assumptions!C29+$A21)))*(1+(Assumptions!D29+$A21)))*(1+(Assumptions!E29+$A21)))*(1+(Assumptions!F29+$A21)))*Assumptions!F46))))/(1+Assumptions!$C$60)^4.5))+((((((((((('Income Statement'!D6*(1+(Assumptions!C29+$A21)))*(1+(Assumptions!D29+$A21)))*(1+(Assumptions!E29+$A21)))*(1+(Assumptions!F29+$A21)))*(1+(Assumptions!G29+$A21)))*Assumptions!G30)-((((((('Income Statement'!D6*(1+(Assumptions!C29+$A21)))*(1+(Assumptions!D29+$A21)))*(1+(Assumptions!E29+$A21)))*(1+(Assumptions!F29+$A21)))*(1+(Assumptions!G29+$A21)))*(Assumptions!G31+F$18))+((((((('Income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Statement'!D6*(1+(Assumptions!C29+$A21)))*(1+(Assumptions!D29+$A21)))*(1+(Assumptions!E29+$A21)))*(1+(Assumptions!F29+$A21)))*(1+(Assumptions!G29+$A21)))*(Assumptions!G31+F$18))+((((((('Income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Statement'!D6*(1+(Assumptions!C29+$A21)))*(1+(Assumptions!D29+$A21)))*(1+(Assumptions!E29+$A21)))*(1+(Assumptions!F29+$A21)))*Assumptions!F46))))*(1+Assumptions!$C$61)/(Assumptions!$C$60-Assumptions!$C$61))/(1+Assumptions!$C$60)^5))-Assumptions!$C$25)/Assumptions!$C$21</f>
        <v>42.2700936826196</v>
      </c>
    </row>
    <row r="22" customFormat="false" ht="15" hidden="false" customHeight="false" outlineLevel="0" collapsed="false">
      <c r="A22" s="74" t="n">
        <v>0.03</v>
      </c>
      <c r="B22" s="59" t="n">
        <f aca="false">((((((((('Income Statement'!D6*(1+(Assumptions!C29+$A22)))*Assumptions!C30)-((('Income Statement'!D6*(1+(Assumptions!C29+$A22)))*(Assumptions!C31+B$18))+((('Income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Statement'!D6*(1+(Assumptions!C29+$A22)))*Assumptions!C30)*Assumptions!C38))-MAX(((('Income Statement'!D6*(1+(Assumptions!C29+$A22)))*Assumptions!C30)-((('Income Statement'!D6*(1+(Assumptions!C29+$A22)))*(Assumptions!C31+B$18))+((('Income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Statement'!D6*(1+(Assumptions!C29+$A22)))*Assumptions!C30)*Assumptions!C38)),0)*Assumptions!C42)+((('Income Statement'!D6*(1+(Assumptions!C29+$A22)))*Assumptions!C30)*Assumptions!C38)-((('Income Statement'!D6*(1+(Assumptions!C29+$A22)))*Assumptions!C30)*Assumptions!C43)-(Assumptions!C44*((('Income Statement'!D6*(1+(Assumptions!C29+$A22)))*Assumptions!C30)-'Income Statement'!D9))-(Assumptions!C48*((('Income Statement'!D6*(1+(Assumptions!C29+$A22)))*Assumptions!C46)-'Balance Sheet'!D6)))/(1+Assumptions!$C$60)^0.5)+((((((('Income Statement'!D6*(1+(Assumptions!C29+$A22)))*(1+(Assumptions!D29+$A22)))*Assumptions!D30)-(((('Income Statement'!D6*(1+(Assumptions!C29+$A22)))*(1+(Assumptions!D29+$A22)))*(Assumptions!D31+B$18))+(((('Income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Statement'!D6*(1+(Assumptions!C29+$A22)))*(1+(Assumptions!D29+$A22)))*Assumptions!D30)*Assumptions!D38))-MAX((((('Income Statement'!D6*(1+(Assumptions!C29+$A22)))*(1+(Assumptions!D29+$A22)))*Assumptions!D30)-(((('Income Statement'!D6*(1+(Assumptions!C29+$A22)))*(1+(Assumptions!D29+$A22)))*(Assumptions!D31+B$18))+(((('Income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Statement'!D6*(1+(Assumptions!C29+$A22)))*(1+(Assumptions!D29+$A22)))*Assumptions!D30)*Assumptions!D38)),0)*Assumptions!D42)+(((('Income Statement'!D6*(1+(Assumptions!C29+$A22)))*(1+(Assumptions!D29+$A22)))*Assumptions!D30)*Assumptions!D38)-(((('Income Statement'!D6*(1+(Assumptions!C29+$A22)))*(1+(Assumptions!D29+$A22)))*Assumptions!D30)*Assumptions!D43)-(Assumptions!D44*(((('Income Statement'!D6*(1+(Assumptions!C29+$A22)))*(1+(Assumptions!D29+$A22)))*Assumptions!D30)-(('Income Statement'!D6*(1+(Assumptions!C29+$A22)))*Assumptions!C30)))-(Assumptions!D48*(((('Income Statement'!D6*(1+(Assumptions!C29+$A22)))*(1+(Assumptions!D29+$A22)))*Assumptions!D46)-(('Income Statement'!D6*(1+(Assumptions!C29+$A22)))*Assumptions!C46))))/(1+Assumptions!$C$60)^1.5)+(((((((('Income Statement'!D6*(1+(Assumptions!C29+$A22)))*(1+(Assumptions!D29+$A22)))*(1+(Assumptions!E29+$A22)))*Assumptions!E30)-((((('Income Statement'!D6*(1+(Assumptions!C29+$A22)))*(1+(Assumptions!D29+$A22)))*(1+(Assumptions!E29+$A22)))*(Assumptions!E31+B$18))+((((('Income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Statement'!D6*(1+(Assumptions!C29+$A22)))*(1+(Assumptions!D29+$A22)))*(1+(Assumptions!E29+$A22)))*Assumptions!E30)*Assumptions!E38))-MAX(((((('Income Statement'!D6*(1+(Assumptions!C29+$A22)))*(1+(Assumptions!D29+$A22)))*(1+(Assumptions!E29+$A22)))*Assumptions!E30)-((((('Income Statement'!D6*(1+(Assumptions!C29+$A22)))*(1+(Assumptions!D29+$A22)))*(1+(Assumptions!E29+$A22)))*(Assumptions!E31+B$18))+((((('Income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Statement'!D6*(1+(Assumptions!C29+$A22)))*(1+(Assumptions!D29+$A22)))*(1+(Assumptions!E29+$A22)))*Assumptions!E30)*Assumptions!E38)),0)*Assumptions!E42)+((((('Income Statement'!D6*(1+(Assumptions!C29+$A22)))*(1+(Assumptions!D29+$A22)))*(1+(Assumptions!E29+$A22)))*Assumptions!E30)*Assumptions!E38)-((((('Income Statement'!D6*(1+(Assumptions!C29+$A22)))*(1+(Assumptions!D29+$A22)))*(1+(Assumptions!E29+$A22)))*Assumptions!E30)*Assumptions!E43)-(Assumptions!E44*((((('Income Statement'!D6*(1+(Assumptions!C29+$A22)))*(1+(Assumptions!D29+$A22)))*(1+(Assumptions!E29+$A22)))*Assumptions!E30)-((('Income Statement'!D6*(1+(Assumptions!C29+$A22)))*(1+(Assumptions!D29+$A22)))*Assumptions!D30)))-(Assumptions!E48*((((('Income Statement'!D6*(1+(Assumptions!C29+$A22)))*(1+(Assumptions!D29+$A22)))*(1+(Assumptions!E29+$A22)))*Assumptions!E46)-((('Income Statement'!D6*(1+(Assumptions!C29+$A22)))*(1+(Assumptions!D29+$A22)))*Assumptions!D46))))/(1+Assumptions!$C$60)^2.5)+((((((((('Income Statement'!D6*(1+(Assumptions!C29+$A22)))*(1+(Assumptions!D29+$A22)))*(1+(Assumptions!E29+$A22)))*(1+(Assumptions!F29+$A22)))*Assumptions!F30)-(((((('Income Statement'!D6*(1+(Assumptions!C29+$A22)))*(1+(Assumptions!D29+$A22)))*(1+(Assumptions!E29+$A22)))*(1+(Assumptions!F29+$A22)))*(Assumptions!F31+B$18))+(((((('Income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Statement'!D6*(1+(Assumptions!C29+$A22)))*(1+(Assumptions!D29+$A22)))*(1+(Assumptions!E29+$A22)))*(1+(Assumptions!F29+$A22)))*Assumptions!F30)*Assumptions!F38))-MAX((((((('Income Statement'!D6*(1+(Assumptions!C29+$A22)))*(1+(Assumptions!D29+$A22)))*(1+(Assumptions!E29+$A22)))*(1+(Assumptions!F29+$A22)))*Assumptions!F30)-(((((('Income Statement'!D6*(1+(Assumptions!C29+$A22)))*(1+(Assumptions!D29+$A22)))*(1+(Assumptions!E29+$A22)))*(1+(Assumptions!F29+$A22)))*(Assumptions!F31+B$18))+(((((('Income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Statement'!D6*(1+(Assumptions!C29+$A22)))*(1+(Assumptions!D29+$A22)))*(1+(Assumptions!E29+$A22)))*(1+(Assumptions!F29+$A22)))*Assumptions!F30)*Assumptions!F38)),0)*Assumptions!F42)+(((((('Income Statement'!D6*(1+(Assumptions!C29+$A22)))*(1+(Assumptions!D29+$A22)))*(1+(Assumptions!E29+$A22)))*(1+(Assumptions!F29+$A22)))*Assumptions!F30)*Assumptions!F38)-(((((('Income Statement'!D6*(1+(Assumptions!C29+$A22)))*(1+(Assumptions!D29+$A22)))*(1+(Assumptions!E29+$A22)))*(1+(Assumptions!F29+$A22)))*Assumptions!F30)*Assumptions!F43)-(Assumptions!F44*(((((('Income Statement'!D6*(1+(Assumptions!C29+$A22)))*(1+(Assumptions!D29+$A22)))*(1+(Assumptions!E29+$A22)))*(1+(Assumptions!F29+$A22)))*Assumptions!F30)-(((('Income Statement'!D6*(1+(Assumptions!C29+$A22)))*(1+(Assumptions!D29+$A22)))*(1+(Assumptions!E29+$A22)))*Assumptions!E30)))-(Assumptions!F48*(((((('Income Statement'!D6*(1+(Assumptions!C29+$A22)))*(1+(Assumptions!D29+$A22)))*(1+(Assumptions!E29+$A22)))*(1+(Assumptions!F29+$A22)))*Assumptions!F46)-(((('Income Statement'!D6*(1+(Assumptions!C29+$A22)))*(1+(Assumptions!D29+$A22)))*(1+(Assumptions!E29+$A22)))*Assumptions!E46))))/(1+Assumptions!$C$60)^3.5)+(((((((((('Income Statement'!D6*(1+(Assumptions!C29+$A22)))*(1+(Assumptions!D29+$A22)))*(1+(Assumptions!E29+$A22)))*(1+(Assumptions!F29+$A22)))*(1+(Assumptions!G29+$A22)))*Assumptions!G30)-((((((('Income Statement'!D6*(1+(Assumptions!C29+$A22)))*(1+(Assumptions!D29+$A22)))*(1+(Assumptions!E29+$A22)))*(1+(Assumptions!F29+$A22)))*(1+(Assumptions!G29+$A22)))*(Assumptions!G31+B$18))+((((((('Income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Statement'!D6*(1+(Assumptions!C29+$A22)))*(1+(Assumptions!D29+$A22)))*(1+(Assumptions!E29+$A22)))*(1+(Assumptions!F29+$A22)))*(1+(Assumptions!G29+$A22)))*(Assumptions!G31+B$18))+((((((('Income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Statement'!D6*(1+(Assumptions!C29+$A22)))*(1+(Assumptions!D29+$A22)))*(1+(Assumptions!E29+$A22)))*(1+(Assumptions!F29+$A22)))*Assumptions!F46))))/(1+Assumptions!$C$60)^4.5))+((((((((((('Income Statement'!D6*(1+(Assumptions!C29+$A22)))*(1+(Assumptions!D29+$A22)))*(1+(Assumptions!E29+$A22)))*(1+(Assumptions!F29+$A22)))*(1+(Assumptions!G29+$A22)))*Assumptions!G30)-((((((('Income Statement'!D6*(1+(Assumptions!C29+$A22)))*(1+(Assumptions!D29+$A22)))*(1+(Assumptions!E29+$A22)))*(1+(Assumptions!F29+$A22)))*(1+(Assumptions!G29+$A22)))*(Assumptions!G31+B$18))+((((((('Income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Statement'!D6*(1+(Assumptions!C29+$A22)))*(1+(Assumptions!D29+$A22)))*(1+(Assumptions!E29+$A22)))*(1+(Assumptions!F29+$A22)))*(1+(Assumptions!G29+$A22)))*(Assumptions!G31+B$18))+((((((('Income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Statement'!D6*(1+(Assumptions!C29+$A22)))*(1+(Assumptions!D29+$A22)))*(1+(Assumptions!E29+$A22)))*(1+(Assumptions!F29+$A22)))*Assumptions!F46))))*(1+Assumptions!$C$61)/(Assumptions!$C$60-Assumptions!$C$61))/(1+Assumptions!$C$60)^5))-Assumptions!$C$25)/Assumptions!$C$21</f>
        <v>2.94019488871466</v>
      </c>
      <c r="C22" s="59" t="n">
        <f aca="false">((((((((('Income Statement'!D6*(1+(Assumptions!C29+$A22)))*Assumptions!C30)-((('Income Statement'!D6*(1+(Assumptions!C29+$A22)))*(Assumptions!C31+C$18))+((('Income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Statement'!D6*(1+(Assumptions!C29+$A22)))*Assumptions!C30)*Assumptions!C38))-MAX(((('Income Statement'!D6*(1+(Assumptions!C29+$A22)))*Assumptions!C30)-((('Income Statement'!D6*(1+(Assumptions!C29+$A22)))*(Assumptions!C31+C$18))+((('Income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Statement'!D6*(1+(Assumptions!C29+$A22)))*Assumptions!C30)*Assumptions!C38)),0)*Assumptions!C42)+((('Income Statement'!D6*(1+(Assumptions!C29+$A22)))*Assumptions!C30)*Assumptions!C38)-((('Income Statement'!D6*(1+(Assumptions!C29+$A22)))*Assumptions!C30)*Assumptions!C43)-(Assumptions!C44*((('Income Statement'!D6*(1+(Assumptions!C29+$A22)))*Assumptions!C30)-'Income Statement'!D9))-(Assumptions!C48*((('Income Statement'!D6*(1+(Assumptions!C29+$A22)))*Assumptions!C46)-'Balance Sheet'!D6)))/(1+Assumptions!$C$60)^0.5)+((((((('Income Statement'!D6*(1+(Assumptions!C29+$A22)))*(1+(Assumptions!D29+$A22)))*Assumptions!D30)-(((('Income Statement'!D6*(1+(Assumptions!C29+$A22)))*(1+(Assumptions!D29+$A22)))*(Assumptions!D31+C$18))+(((('Income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Statement'!D6*(1+(Assumptions!C29+$A22)))*(1+(Assumptions!D29+$A22)))*Assumptions!D30)*Assumptions!D38))-MAX((((('Income Statement'!D6*(1+(Assumptions!C29+$A22)))*(1+(Assumptions!D29+$A22)))*Assumptions!D30)-(((('Income Statement'!D6*(1+(Assumptions!C29+$A22)))*(1+(Assumptions!D29+$A22)))*(Assumptions!D31+C$18))+(((('Income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Statement'!D6*(1+(Assumptions!C29+$A22)))*(1+(Assumptions!D29+$A22)))*Assumptions!D30)*Assumptions!D38)),0)*Assumptions!D42)+(((('Income Statement'!D6*(1+(Assumptions!C29+$A22)))*(1+(Assumptions!D29+$A22)))*Assumptions!D30)*Assumptions!D38)-(((('Income Statement'!D6*(1+(Assumptions!C29+$A22)))*(1+(Assumptions!D29+$A22)))*Assumptions!D30)*Assumptions!D43)-(Assumptions!D44*(((('Income Statement'!D6*(1+(Assumptions!C29+$A22)))*(1+(Assumptions!D29+$A22)))*Assumptions!D30)-(('Income Statement'!D6*(1+(Assumptions!C29+$A22)))*Assumptions!C30)))-(Assumptions!D48*(((('Income Statement'!D6*(1+(Assumptions!C29+$A22)))*(1+(Assumptions!D29+$A22)))*Assumptions!D46)-(('Income Statement'!D6*(1+(Assumptions!C29+$A22)))*Assumptions!C46))))/(1+Assumptions!$C$60)^1.5)+(((((((('Income Statement'!D6*(1+(Assumptions!C29+$A22)))*(1+(Assumptions!D29+$A22)))*(1+(Assumptions!E29+$A22)))*Assumptions!E30)-((((('Income Statement'!D6*(1+(Assumptions!C29+$A22)))*(1+(Assumptions!D29+$A22)))*(1+(Assumptions!E29+$A22)))*(Assumptions!E31+C$18))+((((('Income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Statement'!D6*(1+(Assumptions!C29+$A22)))*(1+(Assumptions!D29+$A22)))*(1+(Assumptions!E29+$A22)))*Assumptions!E30)*Assumptions!E38))-MAX(((((('Income Statement'!D6*(1+(Assumptions!C29+$A22)))*(1+(Assumptions!D29+$A22)))*(1+(Assumptions!E29+$A22)))*Assumptions!E30)-((((('Income Statement'!D6*(1+(Assumptions!C29+$A22)))*(1+(Assumptions!D29+$A22)))*(1+(Assumptions!E29+$A22)))*(Assumptions!E31+C$18))+((((('Income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Statement'!D6*(1+(Assumptions!C29+$A22)))*(1+(Assumptions!D29+$A22)))*(1+(Assumptions!E29+$A22)))*Assumptions!E30)*Assumptions!E38)),0)*Assumptions!E42)+((((('Income Statement'!D6*(1+(Assumptions!C29+$A22)))*(1+(Assumptions!D29+$A22)))*(1+(Assumptions!E29+$A22)))*Assumptions!E30)*Assumptions!E38)-((((('Income Statement'!D6*(1+(Assumptions!C29+$A22)))*(1+(Assumptions!D29+$A22)))*(1+(Assumptions!E29+$A22)))*Assumptions!E30)*Assumptions!E43)-(Assumptions!E44*((((('Income Statement'!D6*(1+(Assumptions!C29+$A22)))*(1+(Assumptions!D29+$A22)))*(1+(Assumptions!E29+$A22)))*Assumptions!E30)-((('Income Statement'!D6*(1+(Assumptions!C29+$A22)))*(1+(Assumptions!D29+$A22)))*Assumptions!D30)))-(Assumptions!E48*((((('Income Statement'!D6*(1+(Assumptions!C29+$A22)))*(1+(Assumptions!D29+$A22)))*(1+(Assumptions!E29+$A22)))*Assumptions!E46)-((('Income Statement'!D6*(1+(Assumptions!C29+$A22)))*(1+(Assumptions!D29+$A22)))*Assumptions!D46))))/(1+Assumptions!$C$60)^2.5)+((((((((('Income Statement'!D6*(1+(Assumptions!C29+$A22)))*(1+(Assumptions!D29+$A22)))*(1+(Assumptions!E29+$A22)))*(1+(Assumptions!F29+$A22)))*Assumptions!F30)-(((((('Income Statement'!D6*(1+(Assumptions!C29+$A22)))*(1+(Assumptions!D29+$A22)))*(1+(Assumptions!E29+$A22)))*(1+(Assumptions!F29+$A22)))*(Assumptions!F31+C$18))+(((((('Income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Statement'!D6*(1+(Assumptions!C29+$A22)))*(1+(Assumptions!D29+$A22)))*(1+(Assumptions!E29+$A22)))*(1+(Assumptions!F29+$A22)))*Assumptions!F30)*Assumptions!F38))-MAX((((((('Income Statement'!D6*(1+(Assumptions!C29+$A22)))*(1+(Assumptions!D29+$A22)))*(1+(Assumptions!E29+$A22)))*(1+(Assumptions!F29+$A22)))*Assumptions!F30)-(((((('Income Statement'!D6*(1+(Assumptions!C29+$A22)))*(1+(Assumptions!D29+$A22)))*(1+(Assumptions!E29+$A22)))*(1+(Assumptions!F29+$A22)))*(Assumptions!F31+C$18))+(((((('Income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Statement'!D6*(1+(Assumptions!C29+$A22)))*(1+(Assumptions!D29+$A22)))*(1+(Assumptions!E29+$A22)))*(1+(Assumptions!F29+$A22)))*Assumptions!F30)*Assumptions!F38)),0)*Assumptions!F42)+(((((('Income Statement'!D6*(1+(Assumptions!C29+$A22)))*(1+(Assumptions!D29+$A22)))*(1+(Assumptions!E29+$A22)))*(1+(Assumptions!F29+$A22)))*Assumptions!F30)*Assumptions!F38)-(((((('Income Statement'!D6*(1+(Assumptions!C29+$A22)))*(1+(Assumptions!D29+$A22)))*(1+(Assumptions!E29+$A22)))*(1+(Assumptions!F29+$A22)))*Assumptions!F30)*Assumptions!F43)-(Assumptions!F44*(((((('Income Statement'!D6*(1+(Assumptions!C29+$A22)))*(1+(Assumptions!D29+$A22)))*(1+(Assumptions!E29+$A22)))*(1+(Assumptions!F29+$A22)))*Assumptions!F30)-(((('Income Statement'!D6*(1+(Assumptions!C29+$A22)))*(1+(Assumptions!D29+$A22)))*(1+(Assumptions!E29+$A22)))*Assumptions!E30)))-(Assumptions!F48*(((((('Income Statement'!D6*(1+(Assumptions!C29+$A22)))*(1+(Assumptions!D29+$A22)))*(1+(Assumptions!E29+$A22)))*(1+(Assumptions!F29+$A22)))*Assumptions!F46)-(((('Income Statement'!D6*(1+(Assumptions!C29+$A22)))*(1+(Assumptions!D29+$A22)))*(1+(Assumptions!E29+$A22)))*Assumptions!E46))))/(1+Assumptions!$C$60)^3.5)+(((((((((('Income Statement'!D6*(1+(Assumptions!C29+$A22)))*(1+(Assumptions!D29+$A22)))*(1+(Assumptions!E29+$A22)))*(1+(Assumptions!F29+$A22)))*(1+(Assumptions!G29+$A22)))*Assumptions!G30)-((((((('Income Statement'!D6*(1+(Assumptions!C29+$A22)))*(1+(Assumptions!D29+$A22)))*(1+(Assumptions!E29+$A22)))*(1+(Assumptions!F29+$A22)))*(1+(Assumptions!G29+$A22)))*(Assumptions!G31+C$18))+((((((('Income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Statement'!D6*(1+(Assumptions!C29+$A22)))*(1+(Assumptions!D29+$A22)))*(1+(Assumptions!E29+$A22)))*(1+(Assumptions!F29+$A22)))*(1+(Assumptions!G29+$A22)))*(Assumptions!G31+C$18))+((((((('Income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Statement'!D6*(1+(Assumptions!C29+$A22)))*(1+(Assumptions!D29+$A22)))*(1+(Assumptions!E29+$A22)))*(1+(Assumptions!F29+$A22)))*Assumptions!F46))))/(1+Assumptions!$C$60)^4.5))+((((((((((('Income Statement'!D6*(1+(Assumptions!C29+$A22)))*(1+(Assumptions!D29+$A22)))*(1+(Assumptions!E29+$A22)))*(1+(Assumptions!F29+$A22)))*(1+(Assumptions!G29+$A22)))*Assumptions!G30)-((((((('Income Statement'!D6*(1+(Assumptions!C29+$A22)))*(1+(Assumptions!D29+$A22)))*(1+(Assumptions!E29+$A22)))*(1+(Assumptions!F29+$A22)))*(1+(Assumptions!G29+$A22)))*(Assumptions!G31+C$18))+((((((('Income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Statement'!D6*(1+(Assumptions!C29+$A22)))*(1+(Assumptions!D29+$A22)))*(1+(Assumptions!E29+$A22)))*(1+(Assumptions!F29+$A22)))*(1+(Assumptions!G29+$A22)))*(Assumptions!G31+C$18))+((((((('Income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Statement'!D6*(1+(Assumptions!C29+$A22)))*(1+(Assumptions!D29+$A22)))*(1+(Assumptions!E29+$A22)))*(1+(Assumptions!F29+$A22)))*Assumptions!F46))))*(1+Assumptions!$C$61)/(Assumptions!$C$60-Assumptions!$C$61))/(1+Assumptions!$C$60)^5))-Assumptions!$C$25)/Assumptions!$C$21</f>
        <v>14.0122519037159</v>
      </c>
      <c r="D22" s="59" t="n">
        <f aca="false">((((((((('Income Statement'!D6*(1+(Assumptions!C29+$A22)))*Assumptions!C30)-((('Income Statement'!D6*(1+(Assumptions!C29+$A22)))*(Assumptions!C31+D$18))+((('Income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Statement'!D6*(1+(Assumptions!C29+$A22)))*Assumptions!C30)*Assumptions!C38))-MAX(((('Income Statement'!D6*(1+(Assumptions!C29+$A22)))*Assumptions!C30)-((('Income Statement'!D6*(1+(Assumptions!C29+$A22)))*(Assumptions!C31+D$18))+((('Income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Statement'!D6*(1+(Assumptions!C29+$A22)))*Assumptions!C30)*Assumptions!C38)),0)*Assumptions!C42)+((('Income Statement'!D6*(1+(Assumptions!C29+$A22)))*Assumptions!C30)*Assumptions!C38)-((('Income Statement'!D6*(1+(Assumptions!C29+$A22)))*Assumptions!C30)*Assumptions!C43)-(Assumptions!C44*((('Income Statement'!D6*(1+(Assumptions!C29+$A22)))*Assumptions!C30)-'Income Statement'!D9))-(Assumptions!C48*((('Income Statement'!D6*(1+(Assumptions!C29+$A22)))*Assumptions!C46)-'Balance Sheet'!D6)))/(1+Assumptions!$C$60)^0.5)+((((((('Income Statement'!D6*(1+(Assumptions!C29+$A22)))*(1+(Assumptions!D29+$A22)))*Assumptions!D30)-(((('Income Statement'!D6*(1+(Assumptions!C29+$A22)))*(1+(Assumptions!D29+$A22)))*(Assumptions!D31+D$18))+(((('Income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Statement'!D6*(1+(Assumptions!C29+$A22)))*(1+(Assumptions!D29+$A22)))*Assumptions!D30)*Assumptions!D38))-MAX((((('Income Statement'!D6*(1+(Assumptions!C29+$A22)))*(1+(Assumptions!D29+$A22)))*Assumptions!D30)-(((('Income Statement'!D6*(1+(Assumptions!C29+$A22)))*(1+(Assumptions!D29+$A22)))*(Assumptions!D31+D$18))+(((('Income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Statement'!D6*(1+(Assumptions!C29+$A22)))*(1+(Assumptions!D29+$A22)))*Assumptions!D30)*Assumptions!D38)),0)*Assumptions!D42)+(((('Income Statement'!D6*(1+(Assumptions!C29+$A22)))*(1+(Assumptions!D29+$A22)))*Assumptions!D30)*Assumptions!D38)-(((('Income Statement'!D6*(1+(Assumptions!C29+$A22)))*(1+(Assumptions!D29+$A22)))*Assumptions!D30)*Assumptions!D43)-(Assumptions!D44*(((('Income Statement'!D6*(1+(Assumptions!C29+$A22)))*(1+(Assumptions!D29+$A22)))*Assumptions!D30)-(('Income Statement'!D6*(1+(Assumptions!C29+$A22)))*Assumptions!C30)))-(Assumptions!D48*(((('Income Statement'!D6*(1+(Assumptions!C29+$A22)))*(1+(Assumptions!D29+$A22)))*Assumptions!D46)-(('Income Statement'!D6*(1+(Assumptions!C29+$A22)))*Assumptions!C46))))/(1+Assumptions!$C$60)^1.5)+(((((((('Income Statement'!D6*(1+(Assumptions!C29+$A22)))*(1+(Assumptions!D29+$A22)))*(1+(Assumptions!E29+$A22)))*Assumptions!E30)-((((('Income Statement'!D6*(1+(Assumptions!C29+$A22)))*(1+(Assumptions!D29+$A22)))*(1+(Assumptions!E29+$A22)))*(Assumptions!E31+D$18))+((((('Income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Statement'!D6*(1+(Assumptions!C29+$A22)))*(1+(Assumptions!D29+$A22)))*(1+(Assumptions!E29+$A22)))*Assumptions!E30)*Assumptions!E38))-MAX(((((('Income Statement'!D6*(1+(Assumptions!C29+$A22)))*(1+(Assumptions!D29+$A22)))*(1+(Assumptions!E29+$A22)))*Assumptions!E30)-((((('Income Statement'!D6*(1+(Assumptions!C29+$A22)))*(1+(Assumptions!D29+$A22)))*(1+(Assumptions!E29+$A22)))*(Assumptions!E31+D$18))+((((('Income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Statement'!D6*(1+(Assumptions!C29+$A22)))*(1+(Assumptions!D29+$A22)))*(1+(Assumptions!E29+$A22)))*Assumptions!E30)*Assumptions!E38)),0)*Assumptions!E42)+((((('Income Statement'!D6*(1+(Assumptions!C29+$A22)))*(1+(Assumptions!D29+$A22)))*(1+(Assumptions!E29+$A22)))*Assumptions!E30)*Assumptions!E38)-((((('Income Statement'!D6*(1+(Assumptions!C29+$A22)))*(1+(Assumptions!D29+$A22)))*(1+(Assumptions!E29+$A22)))*Assumptions!E30)*Assumptions!E43)-(Assumptions!E44*((((('Income Statement'!D6*(1+(Assumptions!C29+$A22)))*(1+(Assumptions!D29+$A22)))*(1+(Assumptions!E29+$A22)))*Assumptions!E30)-((('Income Statement'!D6*(1+(Assumptions!C29+$A22)))*(1+(Assumptions!D29+$A22)))*Assumptions!D30)))-(Assumptions!E48*((((('Income Statement'!D6*(1+(Assumptions!C29+$A22)))*(1+(Assumptions!D29+$A22)))*(1+(Assumptions!E29+$A22)))*Assumptions!E46)-((('Income Statement'!D6*(1+(Assumptions!C29+$A22)))*(1+(Assumptions!D29+$A22)))*Assumptions!D46))))/(1+Assumptions!$C$60)^2.5)+((((((((('Income Statement'!D6*(1+(Assumptions!C29+$A22)))*(1+(Assumptions!D29+$A22)))*(1+(Assumptions!E29+$A22)))*(1+(Assumptions!F29+$A22)))*Assumptions!F30)-(((((('Income Statement'!D6*(1+(Assumptions!C29+$A22)))*(1+(Assumptions!D29+$A22)))*(1+(Assumptions!E29+$A22)))*(1+(Assumptions!F29+$A22)))*(Assumptions!F31+D$18))+(((((('Income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Statement'!D6*(1+(Assumptions!C29+$A22)))*(1+(Assumptions!D29+$A22)))*(1+(Assumptions!E29+$A22)))*(1+(Assumptions!F29+$A22)))*Assumptions!F30)*Assumptions!F38))-MAX((((((('Income Statement'!D6*(1+(Assumptions!C29+$A22)))*(1+(Assumptions!D29+$A22)))*(1+(Assumptions!E29+$A22)))*(1+(Assumptions!F29+$A22)))*Assumptions!F30)-(((((('Income Statement'!D6*(1+(Assumptions!C29+$A22)))*(1+(Assumptions!D29+$A22)))*(1+(Assumptions!E29+$A22)))*(1+(Assumptions!F29+$A22)))*(Assumptions!F31+D$18))+(((((('Income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Statement'!D6*(1+(Assumptions!C29+$A22)))*(1+(Assumptions!D29+$A22)))*(1+(Assumptions!E29+$A22)))*(1+(Assumptions!F29+$A22)))*Assumptions!F30)*Assumptions!F38)),0)*Assumptions!F42)+(((((('Income Statement'!D6*(1+(Assumptions!C29+$A22)))*(1+(Assumptions!D29+$A22)))*(1+(Assumptions!E29+$A22)))*(1+(Assumptions!F29+$A22)))*Assumptions!F30)*Assumptions!F38)-(((((('Income Statement'!D6*(1+(Assumptions!C29+$A22)))*(1+(Assumptions!D29+$A22)))*(1+(Assumptions!E29+$A22)))*(1+(Assumptions!F29+$A22)))*Assumptions!F30)*Assumptions!F43)-(Assumptions!F44*(((((('Income Statement'!D6*(1+(Assumptions!C29+$A22)))*(1+(Assumptions!D29+$A22)))*(1+(Assumptions!E29+$A22)))*(1+(Assumptions!F29+$A22)))*Assumptions!F30)-(((('Income Statement'!D6*(1+(Assumptions!C29+$A22)))*(1+(Assumptions!D29+$A22)))*(1+(Assumptions!E29+$A22)))*Assumptions!E30)))-(Assumptions!F48*(((((('Income Statement'!D6*(1+(Assumptions!C29+$A22)))*(1+(Assumptions!D29+$A22)))*(1+(Assumptions!E29+$A22)))*(1+(Assumptions!F29+$A22)))*Assumptions!F46)-(((('Income Statement'!D6*(1+(Assumptions!C29+$A22)))*(1+(Assumptions!D29+$A22)))*(1+(Assumptions!E29+$A22)))*Assumptions!E46))))/(1+Assumptions!$C$60)^3.5)+(((((((((('Income Statement'!D6*(1+(Assumptions!C29+$A22)))*(1+(Assumptions!D29+$A22)))*(1+(Assumptions!E29+$A22)))*(1+(Assumptions!F29+$A22)))*(1+(Assumptions!G29+$A22)))*Assumptions!G30)-((((((('Income Statement'!D6*(1+(Assumptions!C29+$A22)))*(1+(Assumptions!D29+$A22)))*(1+(Assumptions!E29+$A22)))*(1+(Assumptions!F29+$A22)))*(1+(Assumptions!G29+$A22)))*(Assumptions!G31+D$18))+((((((('Income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Statement'!D6*(1+(Assumptions!C29+$A22)))*(1+(Assumptions!D29+$A22)))*(1+(Assumptions!E29+$A22)))*(1+(Assumptions!F29+$A22)))*(1+(Assumptions!G29+$A22)))*(Assumptions!G31+D$18))+((((((('Income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Statement'!D6*(1+(Assumptions!C29+$A22)))*(1+(Assumptions!D29+$A22)))*(1+(Assumptions!E29+$A22)))*(1+(Assumptions!F29+$A22)))*Assumptions!F46))))/(1+Assumptions!$C$60)^4.5))+((((((((((('Income Statement'!D6*(1+(Assumptions!C29+$A22)))*(1+(Assumptions!D29+$A22)))*(1+(Assumptions!E29+$A22)))*(1+(Assumptions!F29+$A22)))*(1+(Assumptions!G29+$A22)))*Assumptions!G30)-((((((('Income Statement'!D6*(1+(Assumptions!C29+$A22)))*(1+(Assumptions!D29+$A22)))*(1+(Assumptions!E29+$A22)))*(1+(Assumptions!F29+$A22)))*(1+(Assumptions!G29+$A22)))*(Assumptions!G31+D$18))+((((((('Income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Statement'!D6*(1+(Assumptions!C29+$A22)))*(1+(Assumptions!D29+$A22)))*(1+(Assumptions!E29+$A22)))*(1+(Assumptions!F29+$A22)))*(1+(Assumptions!G29+$A22)))*(Assumptions!G31+D$18))+((((((('Income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Statement'!D6*(1+(Assumptions!C29+$A22)))*(1+(Assumptions!D29+$A22)))*(1+(Assumptions!E29+$A22)))*(1+(Assumptions!F29+$A22)))*Assumptions!F46))))*(1+Assumptions!$C$61)/(Assumptions!$C$60-Assumptions!$C$61))/(1+Assumptions!$C$60)^5))-Assumptions!$C$25)/Assumptions!$C$21</f>
        <v>24.8168348333085</v>
      </c>
      <c r="E22" s="59" t="n">
        <f aca="false">((((((((('Income Statement'!D6*(1+(Assumptions!C29+$A22)))*Assumptions!C30)-((('Income Statement'!D6*(1+(Assumptions!C29+$A22)))*(Assumptions!C31+E$18))+((('Income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Statement'!D6*(1+(Assumptions!C29+$A22)))*Assumptions!C30)*Assumptions!C38))-MAX(((('Income Statement'!D6*(1+(Assumptions!C29+$A22)))*Assumptions!C30)-((('Income Statement'!D6*(1+(Assumptions!C29+$A22)))*(Assumptions!C31+E$18))+((('Income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Statement'!D6*(1+(Assumptions!C29+$A22)))*Assumptions!C30)*Assumptions!C38)),0)*Assumptions!C42)+((('Income Statement'!D6*(1+(Assumptions!C29+$A22)))*Assumptions!C30)*Assumptions!C38)-((('Income Statement'!D6*(1+(Assumptions!C29+$A22)))*Assumptions!C30)*Assumptions!C43)-(Assumptions!C44*((('Income Statement'!D6*(1+(Assumptions!C29+$A22)))*Assumptions!C30)-'Income Statement'!D9))-(Assumptions!C48*((('Income Statement'!D6*(1+(Assumptions!C29+$A22)))*Assumptions!C46)-'Balance Sheet'!D6)))/(1+Assumptions!$C$60)^0.5)+((((((('Income Statement'!D6*(1+(Assumptions!C29+$A22)))*(1+(Assumptions!D29+$A22)))*Assumptions!D30)-(((('Income Statement'!D6*(1+(Assumptions!C29+$A22)))*(1+(Assumptions!D29+$A22)))*(Assumptions!D31+E$18))+(((('Income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Statement'!D6*(1+(Assumptions!C29+$A22)))*(1+(Assumptions!D29+$A22)))*Assumptions!D30)*Assumptions!D38))-MAX((((('Income Statement'!D6*(1+(Assumptions!C29+$A22)))*(1+(Assumptions!D29+$A22)))*Assumptions!D30)-(((('Income Statement'!D6*(1+(Assumptions!C29+$A22)))*(1+(Assumptions!D29+$A22)))*(Assumptions!D31+E$18))+(((('Income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Statement'!D6*(1+(Assumptions!C29+$A22)))*(1+(Assumptions!D29+$A22)))*Assumptions!D30)*Assumptions!D38)),0)*Assumptions!D42)+(((('Income Statement'!D6*(1+(Assumptions!C29+$A22)))*(1+(Assumptions!D29+$A22)))*Assumptions!D30)*Assumptions!D38)-(((('Income Statement'!D6*(1+(Assumptions!C29+$A22)))*(1+(Assumptions!D29+$A22)))*Assumptions!D30)*Assumptions!D43)-(Assumptions!D44*(((('Income Statement'!D6*(1+(Assumptions!C29+$A22)))*(1+(Assumptions!D29+$A22)))*Assumptions!D30)-(('Income Statement'!D6*(1+(Assumptions!C29+$A22)))*Assumptions!C30)))-(Assumptions!D48*(((('Income Statement'!D6*(1+(Assumptions!C29+$A22)))*(1+(Assumptions!D29+$A22)))*Assumptions!D46)-(('Income Statement'!D6*(1+(Assumptions!C29+$A22)))*Assumptions!C46))))/(1+Assumptions!$C$60)^1.5)+(((((((('Income Statement'!D6*(1+(Assumptions!C29+$A22)))*(1+(Assumptions!D29+$A22)))*(1+(Assumptions!E29+$A22)))*Assumptions!E30)-((((('Income Statement'!D6*(1+(Assumptions!C29+$A22)))*(1+(Assumptions!D29+$A22)))*(1+(Assumptions!E29+$A22)))*(Assumptions!E31+E$18))+((((('Income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Statement'!D6*(1+(Assumptions!C29+$A22)))*(1+(Assumptions!D29+$A22)))*(1+(Assumptions!E29+$A22)))*Assumptions!E30)*Assumptions!E38))-MAX(((((('Income Statement'!D6*(1+(Assumptions!C29+$A22)))*(1+(Assumptions!D29+$A22)))*(1+(Assumptions!E29+$A22)))*Assumptions!E30)-((((('Income Statement'!D6*(1+(Assumptions!C29+$A22)))*(1+(Assumptions!D29+$A22)))*(1+(Assumptions!E29+$A22)))*(Assumptions!E31+E$18))+((((('Income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Statement'!D6*(1+(Assumptions!C29+$A22)))*(1+(Assumptions!D29+$A22)))*(1+(Assumptions!E29+$A22)))*Assumptions!E30)*Assumptions!E38)),0)*Assumptions!E42)+((((('Income Statement'!D6*(1+(Assumptions!C29+$A22)))*(1+(Assumptions!D29+$A22)))*(1+(Assumptions!E29+$A22)))*Assumptions!E30)*Assumptions!E38)-((((('Income Statement'!D6*(1+(Assumptions!C29+$A22)))*(1+(Assumptions!D29+$A22)))*(1+(Assumptions!E29+$A22)))*Assumptions!E30)*Assumptions!E43)-(Assumptions!E44*((((('Income Statement'!D6*(1+(Assumptions!C29+$A22)))*(1+(Assumptions!D29+$A22)))*(1+(Assumptions!E29+$A22)))*Assumptions!E30)-((('Income Statement'!D6*(1+(Assumptions!C29+$A22)))*(1+(Assumptions!D29+$A22)))*Assumptions!D30)))-(Assumptions!E48*((((('Income Statement'!D6*(1+(Assumptions!C29+$A22)))*(1+(Assumptions!D29+$A22)))*(1+(Assumptions!E29+$A22)))*Assumptions!E46)-((('Income Statement'!D6*(1+(Assumptions!C29+$A22)))*(1+(Assumptions!D29+$A22)))*Assumptions!D46))))/(1+Assumptions!$C$60)^2.5)+((((((((('Income Statement'!D6*(1+(Assumptions!C29+$A22)))*(1+(Assumptions!D29+$A22)))*(1+(Assumptions!E29+$A22)))*(1+(Assumptions!F29+$A22)))*Assumptions!F30)-(((((('Income Statement'!D6*(1+(Assumptions!C29+$A22)))*(1+(Assumptions!D29+$A22)))*(1+(Assumptions!E29+$A22)))*(1+(Assumptions!F29+$A22)))*(Assumptions!F31+E$18))+(((((('Income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Statement'!D6*(1+(Assumptions!C29+$A22)))*(1+(Assumptions!D29+$A22)))*(1+(Assumptions!E29+$A22)))*(1+(Assumptions!F29+$A22)))*Assumptions!F30)*Assumptions!F38))-MAX((((((('Income Statement'!D6*(1+(Assumptions!C29+$A22)))*(1+(Assumptions!D29+$A22)))*(1+(Assumptions!E29+$A22)))*(1+(Assumptions!F29+$A22)))*Assumptions!F30)-(((((('Income Statement'!D6*(1+(Assumptions!C29+$A22)))*(1+(Assumptions!D29+$A22)))*(1+(Assumptions!E29+$A22)))*(1+(Assumptions!F29+$A22)))*(Assumptions!F31+E$18))+(((((('Income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Statement'!D6*(1+(Assumptions!C29+$A22)))*(1+(Assumptions!D29+$A22)))*(1+(Assumptions!E29+$A22)))*(1+(Assumptions!F29+$A22)))*Assumptions!F30)*Assumptions!F38)),0)*Assumptions!F42)+(((((('Income Statement'!D6*(1+(Assumptions!C29+$A22)))*(1+(Assumptions!D29+$A22)))*(1+(Assumptions!E29+$A22)))*(1+(Assumptions!F29+$A22)))*Assumptions!F30)*Assumptions!F38)-(((((('Income Statement'!D6*(1+(Assumptions!C29+$A22)))*(1+(Assumptions!D29+$A22)))*(1+(Assumptions!E29+$A22)))*(1+(Assumptions!F29+$A22)))*Assumptions!F30)*Assumptions!F43)-(Assumptions!F44*(((((('Income Statement'!D6*(1+(Assumptions!C29+$A22)))*(1+(Assumptions!D29+$A22)))*(1+(Assumptions!E29+$A22)))*(1+(Assumptions!F29+$A22)))*Assumptions!F30)-(((('Income Statement'!D6*(1+(Assumptions!C29+$A22)))*(1+(Assumptions!D29+$A22)))*(1+(Assumptions!E29+$A22)))*Assumptions!E30)))-(Assumptions!F48*(((((('Income Statement'!D6*(1+(Assumptions!C29+$A22)))*(1+(Assumptions!D29+$A22)))*(1+(Assumptions!E29+$A22)))*(1+(Assumptions!F29+$A22)))*Assumptions!F46)-(((('Income Statement'!D6*(1+(Assumptions!C29+$A22)))*(1+(Assumptions!D29+$A22)))*(1+(Assumptions!E29+$A22)))*Assumptions!E46))))/(1+Assumptions!$C$60)^3.5)+(((((((((('Income Statement'!D6*(1+(Assumptions!C29+$A22)))*(1+(Assumptions!D29+$A22)))*(1+(Assumptions!E29+$A22)))*(1+(Assumptions!F29+$A22)))*(1+(Assumptions!G29+$A22)))*Assumptions!G30)-((((((('Income Statement'!D6*(1+(Assumptions!C29+$A22)))*(1+(Assumptions!D29+$A22)))*(1+(Assumptions!E29+$A22)))*(1+(Assumptions!F29+$A22)))*(1+(Assumptions!G29+$A22)))*(Assumptions!G31+E$18))+((((((('Income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Statement'!D6*(1+(Assumptions!C29+$A22)))*(1+(Assumptions!D29+$A22)))*(1+(Assumptions!E29+$A22)))*(1+(Assumptions!F29+$A22)))*(1+(Assumptions!G29+$A22)))*(Assumptions!G31+E$18))+((((((('Income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Statement'!D6*(1+(Assumptions!C29+$A22)))*(1+(Assumptions!D29+$A22)))*(1+(Assumptions!E29+$A22)))*(1+(Assumptions!F29+$A22)))*Assumptions!F46))))/(1+Assumptions!$C$60)^4.5))+((((((((((('Income Statement'!D6*(1+(Assumptions!C29+$A22)))*(1+(Assumptions!D29+$A22)))*(1+(Assumptions!E29+$A22)))*(1+(Assumptions!F29+$A22)))*(1+(Assumptions!G29+$A22)))*Assumptions!G30)-((((((('Income Statement'!D6*(1+(Assumptions!C29+$A22)))*(1+(Assumptions!D29+$A22)))*(1+(Assumptions!E29+$A22)))*(1+(Assumptions!F29+$A22)))*(1+(Assumptions!G29+$A22)))*(Assumptions!G31+E$18))+((((((('Income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Statement'!D6*(1+(Assumptions!C29+$A22)))*(1+(Assumptions!D29+$A22)))*(1+(Assumptions!E29+$A22)))*(1+(Assumptions!F29+$A22)))*(1+(Assumptions!G29+$A22)))*(Assumptions!G31+E$18))+((((((('Income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Statement'!D6*(1+(Assumptions!C29+$A22)))*(1+(Assumptions!D29+$A22)))*(1+(Assumptions!E29+$A22)))*(1+(Assumptions!F29+$A22)))*Assumptions!F46))))*(1+Assumptions!$C$61)/(Assumptions!$C$60-Assumptions!$C$61))/(1+Assumptions!$C$60)^5))-Assumptions!$C$25)/Assumptions!$C$21</f>
        <v>35.5565577652276</v>
      </c>
      <c r="F22" s="59" t="n">
        <f aca="false">((((((((('Income Statement'!D6*(1+(Assumptions!C29+$A22)))*Assumptions!C30)-((('Income Statement'!D6*(1+(Assumptions!C29+$A22)))*(Assumptions!C31+F$18))+((('Income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Statement'!D6*(1+(Assumptions!C29+$A22)))*Assumptions!C30)*Assumptions!C38))-MAX(((('Income Statement'!D6*(1+(Assumptions!C29+$A22)))*Assumptions!C30)-((('Income Statement'!D6*(1+(Assumptions!C29+$A22)))*(Assumptions!C31+F$18))+((('Income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Statement'!D6*(1+(Assumptions!C29+$A22)))*Assumptions!C30)*Assumptions!C38)),0)*Assumptions!C42)+((('Income Statement'!D6*(1+(Assumptions!C29+$A22)))*Assumptions!C30)*Assumptions!C38)-((('Income Statement'!D6*(1+(Assumptions!C29+$A22)))*Assumptions!C30)*Assumptions!C43)-(Assumptions!C44*((('Income Statement'!D6*(1+(Assumptions!C29+$A22)))*Assumptions!C30)-'Income Statement'!D9))-(Assumptions!C48*((('Income Statement'!D6*(1+(Assumptions!C29+$A22)))*Assumptions!C46)-'Balance Sheet'!D6)))/(1+Assumptions!$C$60)^0.5)+((((((('Income Statement'!D6*(1+(Assumptions!C29+$A22)))*(1+(Assumptions!D29+$A22)))*Assumptions!D30)-(((('Income Statement'!D6*(1+(Assumptions!C29+$A22)))*(1+(Assumptions!D29+$A22)))*(Assumptions!D31+F$18))+(((('Income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Statement'!D6*(1+(Assumptions!C29+$A22)))*(1+(Assumptions!D29+$A22)))*Assumptions!D30)*Assumptions!D38))-MAX((((('Income Statement'!D6*(1+(Assumptions!C29+$A22)))*(1+(Assumptions!D29+$A22)))*Assumptions!D30)-(((('Income Statement'!D6*(1+(Assumptions!C29+$A22)))*(1+(Assumptions!D29+$A22)))*(Assumptions!D31+F$18))+(((('Income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Statement'!D6*(1+(Assumptions!C29+$A22)))*(1+(Assumptions!D29+$A22)))*Assumptions!D30)*Assumptions!D38)),0)*Assumptions!D42)+(((('Income Statement'!D6*(1+(Assumptions!C29+$A22)))*(1+(Assumptions!D29+$A22)))*Assumptions!D30)*Assumptions!D38)-(((('Income Statement'!D6*(1+(Assumptions!C29+$A22)))*(1+(Assumptions!D29+$A22)))*Assumptions!D30)*Assumptions!D43)-(Assumptions!D44*(((('Income Statement'!D6*(1+(Assumptions!C29+$A22)))*(1+(Assumptions!D29+$A22)))*Assumptions!D30)-(('Income Statement'!D6*(1+(Assumptions!C29+$A22)))*Assumptions!C30)))-(Assumptions!D48*(((('Income Statement'!D6*(1+(Assumptions!C29+$A22)))*(1+(Assumptions!D29+$A22)))*Assumptions!D46)-(('Income Statement'!D6*(1+(Assumptions!C29+$A22)))*Assumptions!C46))))/(1+Assumptions!$C$60)^1.5)+(((((((('Income Statement'!D6*(1+(Assumptions!C29+$A22)))*(1+(Assumptions!D29+$A22)))*(1+(Assumptions!E29+$A22)))*Assumptions!E30)-((((('Income Statement'!D6*(1+(Assumptions!C29+$A22)))*(1+(Assumptions!D29+$A22)))*(1+(Assumptions!E29+$A22)))*(Assumptions!E31+F$18))+((((('Income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Statement'!D6*(1+(Assumptions!C29+$A22)))*(1+(Assumptions!D29+$A22)))*(1+(Assumptions!E29+$A22)))*Assumptions!E30)*Assumptions!E38))-MAX(((((('Income Statement'!D6*(1+(Assumptions!C29+$A22)))*(1+(Assumptions!D29+$A22)))*(1+(Assumptions!E29+$A22)))*Assumptions!E30)-((((('Income Statement'!D6*(1+(Assumptions!C29+$A22)))*(1+(Assumptions!D29+$A22)))*(1+(Assumptions!E29+$A22)))*(Assumptions!E31+F$18))+((((('Income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Statement'!D6*(1+(Assumptions!C29+$A22)))*(1+(Assumptions!D29+$A22)))*(1+(Assumptions!E29+$A22)))*Assumptions!E30)*Assumptions!E38)),0)*Assumptions!E42)+((((('Income Statement'!D6*(1+(Assumptions!C29+$A22)))*(1+(Assumptions!D29+$A22)))*(1+(Assumptions!E29+$A22)))*Assumptions!E30)*Assumptions!E38)-((((('Income Statement'!D6*(1+(Assumptions!C29+$A22)))*(1+(Assumptions!D29+$A22)))*(1+(Assumptions!E29+$A22)))*Assumptions!E30)*Assumptions!E43)-(Assumptions!E44*((((('Income Statement'!D6*(1+(Assumptions!C29+$A22)))*(1+(Assumptions!D29+$A22)))*(1+(Assumptions!E29+$A22)))*Assumptions!E30)-((('Income Statement'!D6*(1+(Assumptions!C29+$A22)))*(1+(Assumptions!D29+$A22)))*Assumptions!D30)))-(Assumptions!E48*((((('Income Statement'!D6*(1+(Assumptions!C29+$A22)))*(1+(Assumptions!D29+$A22)))*(1+(Assumptions!E29+$A22)))*Assumptions!E46)-((('Income Statement'!D6*(1+(Assumptions!C29+$A22)))*(1+(Assumptions!D29+$A22)))*Assumptions!D46))))/(1+Assumptions!$C$60)^2.5)+((((((((('Income Statement'!D6*(1+(Assumptions!C29+$A22)))*(1+(Assumptions!D29+$A22)))*(1+(Assumptions!E29+$A22)))*(1+(Assumptions!F29+$A22)))*Assumptions!F30)-(((((('Income Statement'!D6*(1+(Assumptions!C29+$A22)))*(1+(Assumptions!D29+$A22)))*(1+(Assumptions!E29+$A22)))*(1+(Assumptions!F29+$A22)))*(Assumptions!F31+F$18))+(((((('Income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Statement'!D6*(1+(Assumptions!C29+$A22)))*(1+(Assumptions!D29+$A22)))*(1+(Assumptions!E29+$A22)))*(1+(Assumptions!F29+$A22)))*Assumptions!F30)*Assumptions!F38))-MAX((((((('Income Statement'!D6*(1+(Assumptions!C29+$A22)))*(1+(Assumptions!D29+$A22)))*(1+(Assumptions!E29+$A22)))*(1+(Assumptions!F29+$A22)))*Assumptions!F30)-(((((('Income Statement'!D6*(1+(Assumptions!C29+$A22)))*(1+(Assumptions!D29+$A22)))*(1+(Assumptions!E29+$A22)))*(1+(Assumptions!F29+$A22)))*(Assumptions!F31+F$18))+(((((('Income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Statement'!D6*(1+(Assumptions!C29+$A22)))*(1+(Assumptions!D29+$A22)))*(1+(Assumptions!E29+$A22)))*(1+(Assumptions!F29+$A22)))*Assumptions!F30)*Assumptions!F38)),0)*Assumptions!F42)+(((((('Income Statement'!D6*(1+(Assumptions!C29+$A22)))*(1+(Assumptions!D29+$A22)))*(1+(Assumptions!E29+$A22)))*(1+(Assumptions!F29+$A22)))*Assumptions!F30)*Assumptions!F38)-(((((('Income Statement'!D6*(1+(Assumptions!C29+$A22)))*(1+(Assumptions!D29+$A22)))*(1+(Assumptions!E29+$A22)))*(1+(Assumptions!F29+$A22)))*Assumptions!F30)*Assumptions!F43)-(Assumptions!F44*(((((('Income Statement'!D6*(1+(Assumptions!C29+$A22)))*(1+(Assumptions!D29+$A22)))*(1+(Assumptions!E29+$A22)))*(1+(Assumptions!F29+$A22)))*Assumptions!F30)-(((('Income Statement'!D6*(1+(Assumptions!C29+$A22)))*(1+(Assumptions!D29+$A22)))*(1+(Assumptions!E29+$A22)))*Assumptions!E30)))-(Assumptions!F48*(((((('Income Statement'!D6*(1+(Assumptions!C29+$A22)))*(1+(Assumptions!D29+$A22)))*(1+(Assumptions!E29+$A22)))*(1+(Assumptions!F29+$A22)))*Assumptions!F46)-(((('Income Statement'!D6*(1+(Assumptions!C29+$A22)))*(1+(Assumptions!D29+$A22)))*(1+(Assumptions!E29+$A22)))*Assumptions!E46))))/(1+Assumptions!$C$60)^3.5)+(((((((((('Income Statement'!D6*(1+(Assumptions!C29+$A22)))*(1+(Assumptions!D29+$A22)))*(1+(Assumptions!E29+$A22)))*(1+(Assumptions!F29+$A22)))*(1+(Assumptions!G29+$A22)))*Assumptions!G30)-((((((('Income Statement'!D6*(1+(Assumptions!C29+$A22)))*(1+(Assumptions!D29+$A22)))*(1+(Assumptions!E29+$A22)))*(1+(Assumptions!F29+$A22)))*(1+(Assumptions!G29+$A22)))*(Assumptions!G31+F$18))+((((((('Income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Statement'!D6*(1+(Assumptions!C29+$A22)))*(1+(Assumptions!D29+$A22)))*(1+(Assumptions!E29+$A22)))*(1+(Assumptions!F29+$A22)))*(1+(Assumptions!G29+$A22)))*(Assumptions!G31+F$18))+((((((('Income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Statement'!D6*(1+(Assumptions!C29+$A22)))*(1+(Assumptions!D29+$A22)))*(1+(Assumptions!E29+$A22)))*(1+(Assumptions!F29+$A22)))*Assumptions!F46))))/(1+Assumptions!$C$60)^4.5))+((((((((((('Income Statement'!D6*(1+(Assumptions!C29+$A22)))*(1+(Assumptions!D29+$A22)))*(1+(Assumptions!E29+$A22)))*(1+(Assumptions!F29+$A22)))*(1+(Assumptions!G29+$A22)))*Assumptions!G30)-((((((('Income Statement'!D6*(1+(Assumptions!C29+$A22)))*(1+(Assumptions!D29+$A22)))*(1+(Assumptions!E29+$A22)))*(1+(Assumptions!F29+$A22)))*(1+(Assumptions!G29+$A22)))*(Assumptions!G31+F$18))+((((((('Income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Statement'!D6*(1+(Assumptions!C29+$A22)))*(1+(Assumptions!D29+$A22)))*(1+(Assumptions!E29+$A22)))*(1+(Assumptions!F29+$A22)))*(1+(Assumptions!G29+$A22)))*(Assumptions!G31+F$18))+((((((('Income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Statement'!D6*(1+(Assumptions!C29+$A22)))*(1+(Assumptions!D29+$A22)))*(1+(Assumptions!E29+$A22)))*(1+(Assumptions!F29+$A22)))*Assumptions!F46))))*(1+Assumptions!$C$61)/(Assumptions!$C$60-Assumptions!$C$61))/(1+Assumptions!$C$60)^5))-Assumptions!$C$25)/Assumptions!$C$21</f>
        <v>46.2962806971467</v>
      </c>
    </row>
    <row r="23" customFormat="false" ht="15" hidden="false" customHeight="false" outlineLevel="0" collapsed="false">
      <c r="A23" s="74" t="n">
        <v>0.06</v>
      </c>
      <c r="B23" s="59" t="n">
        <f aca="false">((((((((('Income Statement'!D6*(1+(Assumptions!C29+$A23)))*Assumptions!C30)-((('Income Statement'!D6*(1+(Assumptions!C29+$A23)))*(Assumptions!C31+B$18))+((('Income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Statement'!D6*(1+(Assumptions!C29+$A23)))*Assumptions!C30)*Assumptions!C38))-MAX(((('Income Statement'!D6*(1+(Assumptions!C29+$A23)))*Assumptions!C30)-((('Income Statement'!D6*(1+(Assumptions!C29+$A23)))*(Assumptions!C31+B$18))+((('Income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Statement'!D6*(1+(Assumptions!C29+$A23)))*Assumptions!C30)*Assumptions!C38)),0)*Assumptions!C42)+((('Income Statement'!D6*(1+(Assumptions!C29+$A23)))*Assumptions!C30)*Assumptions!C38)-((('Income Statement'!D6*(1+(Assumptions!C29+$A23)))*Assumptions!C30)*Assumptions!C43)-(Assumptions!C44*((('Income Statement'!D6*(1+(Assumptions!C29+$A23)))*Assumptions!C30)-'Income Statement'!D9))-(Assumptions!C48*((('Income Statement'!D6*(1+(Assumptions!C29+$A23)))*Assumptions!C46)-'Balance Sheet'!D6)))/(1+Assumptions!$C$60)^0.5)+((((((('Income Statement'!D6*(1+(Assumptions!C29+$A23)))*(1+(Assumptions!D29+$A23)))*Assumptions!D30)-(((('Income Statement'!D6*(1+(Assumptions!C29+$A23)))*(1+(Assumptions!D29+$A23)))*(Assumptions!D31+B$18))+(((('Income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Statement'!D6*(1+(Assumptions!C29+$A23)))*(1+(Assumptions!D29+$A23)))*Assumptions!D30)*Assumptions!D38))-MAX((((('Income Statement'!D6*(1+(Assumptions!C29+$A23)))*(1+(Assumptions!D29+$A23)))*Assumptions!D30)-(((('Income Statement'!D6*(1+(Assumptions!C29+$A23)))*(1+(Assumptions!D29+$A23)))*(Assumptions!D31+B$18))+(((('Income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Statement'!D6*(1+(Assumptions!C29+$A23)))*(1+(Assumptions!D29+$A23)))*Assumptions!D30)*Assumptions!D38)),0)*Assumptions!D42)+(((('Income Statement'!D6*(1+(Assumptions!C29+$A23)))*(1+(Assumptions!D29+$A23)))*Assumptions!D30)*Assumptions!D38)-(((('Income Statement'!D6*(1+(Assumptions!C29+$A23)))*(1+(Assumptions!D29+$A23)))*Assumptions!D30)*Assumptions!D43)-(Assumptions!D44*(((('Income Statement'!D6*(1+(Assumptions!C29+$A23)))*(1+(Assumptions!D29+$A23)))*Assumptions!D30)-(('Income Statement'!D6*(1+(Assumptions!C29+$A23)))*Assumptions!C30)))-(Assumptions!D48*(((('Income Statement'!D6*(1+(Assumptions!C29+$A23)))*(1+(Assumptions!D29+$A23)))*Assumptions!D46)-(('Income Statement'!D6*(1+(Assumptions!C29+$A23)))*Assumptions!C46))))/(1+Assumptions!$C$60)^1.5)+(((((((('Income Statement'!D6*(1+(Assumptions!C29+$A23)))*(1+(Assumptions!D29+$A23)))*(1+(Assumptions!E29+$A23)))*Assumptions!E30)-((((('Income Statement'!D6*(1+(Assumptions!C29+$A23)))*(1+(Assumptions!D29+$A23)))*(1+(Assumptions!E29+$A23)))*(Assumptions!E31+B$18))+((((('Income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Statement'!D6*(1+(Assumptions!C29+$A23)))*(1+(Assumptions!D29+$A23)))*(1+(Assumptions!E29+$A23)))*Assumptions!E30)*Assumptions!E38))-MAX(((((('Income Statement'!D6*(1+(Assumptions!C29+$A23)))*(1+(Assumptions!D29+$A23)))*(1+(Assumptions!E29+$A23)))*Assumptions!E30)-((((('Income Statement'!D6*(1+(Assumptions!C29+$A23)))*(1+(Assumptions!D29+$A23)))*(1+(Assumptions!E29+$A23)))*(Assumptions!E31+B$18))+((((('Income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Statement'!D6*(1+(Assumptions!C29+$A23)))*(1+(Assumptions!D29+$A23)))*(1+(Assumptions!E29+$A23)))*Assumptions!E30)*Assumptions!E38)),0)*Assumptions!E42)+((((('Income Statement'!D6*(1+(Assumptions!C29+$A23)))*(1+(Assumptions!D29+$A23)))*(1+(Assumptions!E29+$A23)))*Assumptions!E30)*Assumptions!E38)-((((('Income Statement'!D6*(1+(Assumptions!C29+$A23)))*(1+(Assumptions!D29+$A23)))*(1+(Assumptions!E29+$A23)))*Assumptions!E30)*Assumptions!E43)-(Assumptions!E44*((((('Income Statement'!D6*(1+(Assumptions!C29+$A23)))*(1+(Assumptions!D29+$A23)))*(1+(Assumptions!E29+$A23)))*Assumptions!E30)-((('Income Statement'!D6*(1+(Assumptions!C29+$A23)))*(1+(Assumptions!D29+$A23)))*Assumptions!D30)))-(Assumptions!E48*((((('Income Statement'!D6*(1+(Assumptions!C29+$A23)))*(1+(Assumptions!D29+$A23)))*(1+(Assumptions!E29+$A23)))*Assumptions!E46)-((('Income Statement'!D6*(1+(Assumptions!C29+$A23)))*(1+(Assumptions!D29+$A23)))*Assumptions!D46))))/(1+Assumptions!$C$60)^2.5)+((((((((('Income Statement'!D6*(1+(Assumptions!C29+$A23)))*(1+(Assumptions!D29+$A23)))*(1+(Assumptions!E29+$A23)))*(1+(Assumptions!F29+$A23)))*Assumptions!F30)-(((((('Income Statement'!D6*(1+(Assumptions!C29+$A23)))*(1+(Assumptions!D29+$A23)))*(1+(Assumptions!E29+$A23)))*(1+(Assumptions!F29+$A23)))*(Assumptions!F31+B$18))+(((((('Income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Statement'!D6*(1+(Assumptions!C29+$A23)))*(1+(Assumptions!D29+$A23)))*(1+(Assumptions!E29+$A23)))*(1+(Assumptions!F29+$A23)))*Assumptions!F30)*Assumptions!F38))-MAX((((((('Income Statement'!D6*(1+(Assumptions!C29+$A23)))*(1+(Assumptions!D29+$A23)))*(1+(Assumptions!E29+$A23)))*(1+(Assumptions!F29+$A23)))*Assumptions!F30)-(((((('Income Statement'!D6*(1+(Assumptions!C29+$A23)))*(1+(Assumptions!D29+$A23)))*(1+(Assumptions!E29+$A23)))*(1+(Assumptions!F29+$A23)))*(Assumptions!F31+B$18))+(((((('Income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Statement'!D6*(1+(Assumptions!C29+$A23)))*(1+(Assumptions!D29+$A23)))*(1+(Assumptions!E29+$A23)))*(1+(Assumptions!F29+$A23)))*Assumptions!F30)*Assumptions!F38)),0)*Assumptions!F42)+(((((('Income Statement'!D6*(1+(Assumptions!C29+$A23)))*(1+(Assumptions!D29+$A23)))*(1+(Assumptions!E29+$A23)))*(1+(Assumptions!F29+$A23)))*Assumptions!F30)*Assumptions!F38)-(((((('Income Statement'!D6*(1+(Assumptions!C29+$A23)))*(1+(Assumptions!D29+$A23)))*(1+(Assumptions!E29+$A23)))*(1+(Assumptions!F29+$A23)))*Assumptions!F30)*Assumptions!F43)-(Assumptions!F44*(((((('Income Statement'!D6*(1+(Assumptions!C29+$A23)))*(1+(Assumptions!D29+$A23)))*(1+(Assumptions!E29+$A23)))*(1+(Assumptions!F29+$A23)))*Assumptions!F30)-(((('Income Statement'!D6*(1+(Assumptions!C29+$A23)))*(1+(Assumptions!D29+$A23)))*(1+(Assumptions!E29+$A23)))*Assumptions!E30)))-(Assumptions!F48*(((((('Income Statement'!D6*(1+(Assumptions!C29+$A23)))*(1+(Assumptions!D29+$A23)))*(1+(Assumptions!E29+$A23)))*(1+(Assumptions!F29+$A23)))*Assumptions!F46)-(((('Income Statement'!D6*(1+(Assumptions!C29+$A23)))*(1+(Assumptions!D29+$A23)))*(1+(Assumptions!E29+$A23)))*Assumptions!E46))))/(1+Assumptions!$C$60)^3.5)+(((((((((('Income Statement'!D6*(1+(Assumptions!C29+$A23)))*(1+(Assumptions!D29+$A23)))*(1+(Assumptions!E29+$A23)))*(1+(Assumptions!F29+$A23)))*(1+(Assumptions!G29+$A23)))*Assumptions!G30)-((((((('Income Statement'!D6*(1+(Assumptions!C29+$A23)))*(1+(Assumptions!D29+$A23)))*(1+(Assumptions!E29+$A23)))*(1+(Assumptions!F29+$A23)))*(1+(Assumptions!G29+$A23)))*(Assumptions!G31+B$18))+((((((('Income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Statement'!D6*(1+(Assumptions!C29+$A23)))*(1+(Assumptions!D29+$A23)))*(1+(Assumptions!E29+$A23)))*(1+(Assumptions!F29+$A23)))*(1+(Assumptions!G29+$A23)))*(Assumptions!G31+B$18))+((((((('Income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Statement'!D6*(1+(Assumptions!C29+$A23)))*(1+(Assumptions!D29+$A23)))*(1+(Assumptions!E29+$A23)))*(1+(Assumptions!F29+$A23)))*Assumptions!F46))))/(1+Assumptions!$C$60)^4.5))+((((((((((('Income Statement'!D6*(1+(Assumptions!C29+$A23)))*(1+(Assumptions!D29+$A23)))*(1+(Assumptions!E29+$A23)))*(1+(Assumptions!F29+$A23)))*(1+(Assumptions!G29+$A23)))*Assumptions!G30)-((((((('Income Statement'!D6*(1+(Assumptions!C29+$A23)))*(1+(Assumptions!D29+$A23)))*(1+(Assumptions!E29+$A23)))*(1+(Assumptions!F29+$A23)))*(1+(Assumptions!G29+$A23)))*(Assumptions!G31+B$18))+((((((('Income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Statement'!D6*(1+(Assumptions!C29+$A23)))*(1+(Assumptions!D29+$A23)))*(1+(Assumptions!E29+$A23)))*(1+(Assumptions!F29+$A23)))*(1+(Assumptions!G29+$A23)))*(Assumptions!G31+B$18))+((((((('Income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Statement'!D6*(1+(Assumptions!C29+$A23)))*(1+(Assumptions!D29+$A23)))*(1+(Assumptions!E29+$A23)))*(1+(Assumptions!F29+$A23)))*Assumptions!F46))))*(1+Assumptions!$C$61)/(Assumptions!$C$60-Assumptions!$C$61))/(1+Assumptions!$C$60)^5))-Assumptions!$C$25)/Assumptions!$C$21</f>
        <v>2.2014338954578</v>
      </c>
      <c r="C23" s="59" t="n">
        <f aca="false">((((((((('Income Statement'!D6*(1+(Assumptions!C29+$A23)))*Assumptions!C30)-((('Income Statement'!D6*(1+(Assumptions!C29+$A23)))*(Assumptions!C31+C$18))+((('Income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Statement'!D6*(1+(Assumptions!C29+$A23)))*Assumptions!C30)*Assumptions!C38))-MAX(((('Income Statement'!D6*(1+(Assumptions!C29+$A23)))*Assumptions!C30)-((('Income Statement'!D6*(1+(Assumptions!C29+$A23)))*(Assumptions!C31+C$18))+((('Income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Statement'!D6*(1+(Assumptions!C29+$A23)))*Assumptions!C30)*Assumptions!C38)),0)*Assumptions!C42)+((('Income Statement'!D6*(1+(Assumptions!C29+$A23)))*Assumptions!C30)*Assumptions!C38)-((('Income Statement'!D6*(1+(Assumptions!C29+$A23)))*Assumptions!C30)*Assumptions!C43)-(Assumptions!C44*((('Income Statement'!D6*(1+(Assumptions!C29+$A23)))*Assumptions!C30)-'Income Statement'!D9))-(Assumptions!C48*((('Income Statement'!D6*(1+(Assumptions!C29+$A23)))*Assumptions!C46)-'Balance Sheet'!D6)))/(1+Assumptions!$C$60)^0.5)+((((((('Income Statement'!D6*(1+(Assumptions!C29+$A23)))*(1+(Assumptions!D29+$A23)))*Assumptions!D30)-(((('Income Statement'!D6*(1+(Assumptions!C29+$A23)))*(1+(Assumptions!D29+$A23)))*(Assumptions!D31+C$18))+(((('Income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Statement'!D6*(1+(Assumptions!C29+$A23)))*(1+(Assumptions!D29+$A23)))*Assumptions!D30)*Assumptions!D38))-MAX((((('Income Statement'!D6*(1+(Assumptions!C29+$A23)))*(1+(Assumptions!D29+$A23)))*Assumptions!D30)-(((('Income Statement'!D6*(1+(Assumptions!C29+$A23)))*(1+(Assumptions!D29+$A23)))*(Assumptions!D31+C$18))+(((('Income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Statement'!D6*(1+(Assumptions!C29+$A23)))*(1+(Assumptions!D29+$A23)))*Assumptions!D30)*Assumptions!D38)),0)*Assumptions!D42)+(((('Income Statement'!D6*(1+(Assumptions!C29+$A23)))*(1+(Assumptions!D29+$A23)))*Assumptions!D30)*Assumptions!D38)-(((('Income Statement'!D6*(1+(Assumptions!C29+$A23)))*(1+(Assumptions!D29+$A23)))*Assumptions!D30)*Assumptions!D43)-(Assumptions!D44*(((('Income Statement'!D6*(1+(Assumptions!C29+$A23)))*(1+(Assumptions!D29+$A23)))*Assumptions!D30)-(('Income Statement'!D6*(1+(Assumptions!C29+$A23)))*Assumptions!C30)))-(Assumptions!D48*(((('Income Statement'!D6*(1+(Assumptions!C29+$A23)))*(1+(Assumptions!D29+$A23)))*Assumptions!D46)-(('Income Statement'!D6*(1+(Assumptions!C29+$A23)))*Assumptions!C46))))/(1+Assumptions!$C$60)^1.5)+(((((((('Income Statement'!D6*(1+(Assumptions!C29+$A23)))*(1+(Assumptions!D29+$A23)))*(1+(Assumptions!E29+$A23)))*Assumptions!E30)-((((('Income Statement'!D6*(1+(Assumptions!C29+$A23)))*(1+(Assumptions!D29+$A23)))*(1+(Assumptions!E29+$A23)))*(Assumptions!E31+C$18))+((((('Income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Statement'!D6*(1+(Assumptions!C29+$A23)))*(1+(Assumptions!D29+$A23)))*(1+(Assumptions!E29+$A23)))*Assumptions!E30)*Assumptions!E38))-MAX(((((('Income Statement'!D6*(1+(Assumptions!C29+$A23)))*(1+(Assumptions!D29+$A23)))*(1+(Assumptions!E29+$A23)))*Assumptions!E30)-((((('Income Statement'!D6*(1+(Assumptions!C29+$A23)))*(1+(Assumptions!D29+$A23)))*(1+(Assumptions!E29+$A23)))*(Assumptions!E31+C$18))+((((('Income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Statement'!D6*(1+(Assumptions!C29+$A23)))*(1+(Assumptions!D29+$A23)))*(1+(Assumptions!E29+$A23)))*Assumptions!E30)*Assumptions!E38)),0)*Assumptions!E42)+((((('Income Statement'!D6*(1+(Assumptions!C29+$A23)))*(1+(Assumptions!D29+$A23)))*(1+(Assumptions!E29+$A23)))*Assumptions!E30)*Assumptions!E38)-((((('Income Statement'!D6*(1+(Assumptions!C29+$A23)))*(1+(Assumptions!D29+$A23)))*(1+(Assumptions!E29+$A23)))*Assumptions!E30)*Assumptions!E43)-(Assumptions!E44*((((('Income Statement'!D6*(1+(Assumptions!C29+$A23)))*(1+(Assumptions!D29+$A23)))*(1+(Assumptions!E29+$A23)))*Assumptions!E30)-((('Income Statement'!D6*(1+(Assumptions!C29+$A23)))*(1+(Assumptions!D29+$A23)))*Assumptions!D30)))-(Assumptions!E48*((((('Income Statement'!D6*(1+(Assumptions!C29+$A23)))*(1+(Assumptions!D29+$A23)))*(1+(Assumptions!E29+$A23)))*Assumptions!E46)-((('Income Statement'!D6*(1+(Assumptions!C29+$A23)))*(1+(Assumptions!D29+$A23)))*Assumptions!D46))))/(1+Assumptions!$C$60)^2.5)+((((((((('Income Statement'!D6*(1+(Assumptions!C29+$A23)))*(1+(Assumptions!D29+$A23)))*(1+(Assumptions!E29+$A23)))*(1+(Assumptions!F29+$A23)))*Assumptions!F30)-(((((('Income Statement'!D6*(1+(Assumptions!C29+$A23)))*(1+(Assumptions!D29+$A23)))*(1+(Assumptions!E29+$A23)))*(1+(Assumptions!F29+$A23)))*(Assumptions!F31+C$18))+(((((('Income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Statement'!D6*(1+(Assumptions!C29+$A23)))*(1+(Assumptions!D29+$A23)))*(1+(Assumptions!E29+$A23)))*(1+(Assumptions!F29+$A23)))*Assumptions!F30)*Assumptions!F38))-MAX((((((('Income Statement'!D6*(1+(Assumptions!C29+$A23)))*(1+(Assumptions!D29+$A23)))*(1+(Assumptions!E29+$A23)))*(1+(Assumptions!F29+$A23)))*Assumptions!F30)-(((((('Income Statement'!D6*(1+(Assumptions!C29+$A23)))*(1+(Assumptions!D29+$A23)))*(1+(Assumptions!E29+$A23)))*(1+(Assumptions!F29+$A23)))*(Assumptions!F31+C$18))+(((((('Income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Statement'!D6*(1+(Assumptions!C29+$A23)))*(1+(Assumptions!D29+$A23)))*(1+(Assumptions!E29+$A23)))*(1+(Assumptions!F29+$A23)))*Assumptions!F30)*Assumptions!F38)),0)*Assumptions!F42)+(((((('Income Statement'!D6*(1+(Assumptions!C29+$A23)))*(1+(Assumptions!D29+$A23)))*(1+(Assumptions!E29+$A23)))*(1+(Assumptions!F29+$A23)))*Assumptions!F30)*Assumptions!F38)-(((((('Income Statement'!D6*(1+(Assumptions!C29+$A23)))*(1+(Assumptions!D29+$A23)))*(1+(Assumptions!E29+$A23)))*(1+(Assumptions!F29+$A23)))*Assumptions!F30)*Assumptions!F43)-(Assumptions!F44*(((((('Income Statement'!D6*(1+(Assumptions!C29+$A23)))*(1+(Assumptions!D29+$A23)))*(1+(Assumptions!E29+$A23)))*(1+(Assumptions!F29+$A23)))*Assumptions!F30)-(((('Income Statement'!D6*(1+(Assumptions!C29+$A23)))*(1+(Assumptions!D29+$A23)))*(1+(Assumptions!E29+$A23)))*Assumptions!E30)))-(Assumptions!F48*(((((('Income Statement'!D6*(1+(Assumptions!C29+$A23)))*(1+(Assumptions!D29+$A23)))*(1+(Assumptions!E29+$A23)))*(1+(Assumptions!F29+$A23)))*Assumptions!F46)-(((('Income Statement'!D6*(1+(Assumptions!C29+$A23)))*(1+(Assumptions!D29+$A23)))*(1+(Assumptions!E29+$A23)))*Assumptions!E46))))/(1+Assumptions!$C$60)^3.5)+(((((((((('Income Statement'!D6*(1+(Assumptions!C29+$A23)))*(1+(Assumptions!D29+$A23)))*(1+(Assumptions!E29+$A23)))*(1+(Assumptions!F29+$A23)))*(1+(Assumptions!G29+$A23)))*Assumptions!G30)-((((((('Income Statement'!D6*(1+(Assumptions!C29+$A23)))*(1+(Assumptions!D29+$A23)))*(1+(Assumptions!E29+$A23)))*(1+(Assumptions!F29+$A23)))*(1+(Assumptions!G29+$A23)))*(Assumptions!G31+C$18))+((((((('Income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Statement'!D6*(1+(Assumptions!C29+$A23)))*(1+(Assumptions!D29+$A23)))*(1+(Assumptions!E29+$A23)))*(1+(Assumptions!F29+$A23)))*(1+(Assumptions!G29+$A23)))*(Assumptions!G31+C$18))+((((((('Income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Statement'!D6*(1+(Assumptions!C29+$A23)))*(1+(Assumptions!D29+$A23)))*(1+(Assumptions!E29+$A23)))*(1+(Assumptions!F29+$A23)))*Assumptions!F46))))/(1+Assumptions!$C$60)^4.5))+((((((((((('Income Statement'!D6*(1+(Assumptions!C29+$A23)))*(1+(Assumptions!D29+$A23)))*(1+(Assumptions!E29+$A23)))*(1+(Assumptions!F29+$A23)))*(1+(Assumptions!G29+$A23)))*Assumptions!G30)-((((((('Income Statement'!D6*(1+(Assumptions!C29+$A23)))*(1+(Assumptions!D29+$A23)))*(1+(Assumptions!E29+$A23)))*(1+(Assumptions!F29+$A23)))*(1+(Assumptions!G29+$A23)))*(Assumptions!G31+C$18))+((((((('Income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Statement'!D6*(1+(Assumptions!C29+$A23)))*(1+(Assumptions!D29+$A23)))*(1+(Assumptions!E29+$A23)))*(1+(Assumptions!F29+$A23)))*(1+(Assumptions!G29+$A23)))*(Assumptions!G31+C$18))+((((((('Income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Statement'!D6*(1+(Assumptions!C29+$A23)))*(1+(Assumptions!D29+$A23)))*(1+(Assumptions!E29+$A23)))*(1+(Assumptions!F29+$A23)))*Assumptions!F46))))*(1+Assumptions!$C$61)/(Assumptions!$C$60-Assumptions!$C$61))/(1+Assumptions!$C$60)^5))-Assumptions!$C$25)/Assumptions!$C$21</f>
        <v>14.5568022874877</v>
      </c>
      <c r="D23" s="59" t="n">
        <f aca="false">((((((((('Income Statement'!D6*(1+(Assumptions!C29+$A23)))*Assumptions!C30)-((('Income Statement'!D6*(1+(Assumptions!C29+$A23)))*(Assumptions!C31+D$18))+((('Income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Statement'!D6*(1+(Assumptions!C29+$A23)))*Assumptions!C30)*Assumptions!C38))-MAX(((('Income Statement'!D6*(1+(Assumptions!C29+$A23)))*Assumptions!C30)-((('Income Statement'!D6*(1+(Assumptions!C29+$A23)))*(Assumptions!C31+D$18))+((('Income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Statement'!D6*(1+(Assumptions!C29+$A23)))*Assumptions!C30)*Assumptions!C38)),0)*Assumptions!C42)+((('Income Statement'!D6*(1+(Assumptions!C29+$A23)))*Assumptions!C30)*Assumptions!C38)-((('Income Statement'!D6*(1+(Assumptions!C29+$A23)))*Assumptions!C30)*Assumptions!C43)-(Assumptions!C44*((('Income Statement'!D6*(1+(Assumptions!C29+$A23)))*Assumptions!C30)-'Income Statement'!D9))-(Assumptions!C48*((('Income Statement'!D6*(1+(Assumptions!C29+$A23)))*Assumptions!C46)-'Balance Sheet'!D6)))/(1+Assumptions!$C$60)^0.5)+((((((('Income Statement'!D6*(1+(Assumptions!C29+$A23)))*(1+(Assumptions!D29+$A23)))*Assumptions!D30)-(((('Income Statement'!D6*(1+(Assumptions!C29+$A23)))*(1+(Assumptions!D29+$A23)))*(Assumptions!D31+D$18))+(((('Income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Statement'!D6*(1+(Assumptions!C29+$A23)))*(1+(Assumptions!D29+$A23)))*Assumptions!D30)*Assumptions!D38))-MAX((((('Income Statement'!D6*(1+(Assumptions!C29+$A23)))*(1+(Assumptions!D29+$A23)))*Assumptions!D30)-(((('Income Statement'!D6*(1+(Assumptions!C29+$A23)))*(1+(Assumptions!D29+$A23)))*(Assumptions!D31+D$18))+(((('Income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Statement'!D6*(1+(Assumptions!C29+$A23)))*(1+(Assumptions!D29+$A23)))*Assumptions!D30)*Assumptions!D38)),0)*Assumptions!D42)+(((('Income Statement'!D6*(1+(Assumptions!C29+$A23)))*(1+(Assumptions!D29+$A23)))*Assumptions!D30)*Assumptions!D38)-(((('Income Statement'!D6*(1+(Assumptions!C29+$A23)))*(1+(Assumptions!D29+$A23)))*Assumptions!D30)*Assumptions!D43)-(Assumptions!D44*(((('Income Statement'!D6*(1+(Assumptions!C29+$A23)))*(1+(Assumptions!D29+$A23)))*Assumptions!D30)-(('Income Statement'!D6*(1+(Assumptions!C29+$A23)))*Assumptions!C30)))-(Assumptions!D48*(((('Income Statement'!D6*(1+(Assumptions!C29+$A23)))*(1+(Assumptions!D29+$A23)))*Assumptions!D46)-(('Income Statement'!D6*(1+(Assumptions!C29+$A23)))*Assumptions!C46))))/(1+Assumptions!$C$60)^1.5)+(((((((('Income Statement'!D6*(1+(Assumptions!C29+$A23)))*(1+(Assumptions!D29+$A23)))*(1+(Assumptions!E29+$A23)))*Assumptions!E30)-((((('Income Statement'!D6*(1+(Assumptions!C29+$A23)))*(1+(Assumptions!D29+$A23)))*(1+(Assumptions!E29+$A23)))*(Assumptions!E31+D$18))+((((('Income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Statement'!D6*(1+(Assumptions!C29+$A23)))*(1+(Assumptions!D29+$A23)))*(1+(Assumptions!E29+$A23)))*Assumptions!E30)*Assumptions!E38))-MAX(((((('Income Statement'!D6*(1+(Assumptions!C29+$A23)))*(1+(Assumptions!D29+$A23)))*(1+(Assumptions!E29+$A23)))*Assumptions!E30)-((((('Income Statement'!D6*(1+(Assumptions!C29+$A23)))*(1+(Assumptions!D29+$A23)))*(1+(Assumptions!E29+$A23)))*(Assumptions!E31+D$18))+((((('Income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Statement'!D6*(1+(Assumptions!C29+$A23)))*(1+(Assumptions!D29+$A23)))*(1+(Assumptions!E29+$A23)))*Assumptions!E30)*Assumptions!E38)),0)*Assumptions!E42)+((((('Income Statement'!D6*(1+(Assumptions!C29+$A23)))*(1+(Assumptions!D29+$A23)))*(1+(Assumptions!E29+$A23)))*Assumptions!E30)*Assumptions!E38)-((((('Income Statement'!D6*(1+(Assumptions!C29+$A23)))*(1+(Assumptions!D29+$A23)))*(1+(Assumptions!E29+$A23)))*Assumptions!E30)*Assumptions!E43)-(Assumptions!E44*((((('Income Statement'!D6*(1+(Assumptions!C29+$A23)))*(1+(Assumptions!D29+$A23)))*(1+(Assumptions!E29+$A23)))*Assumptions!E30)-((('Income Statement'!D6*(1+(Assumptions!C29+$A23)))*(1+(Assumptions!D29+$A23)))*Assumptions!D30)))-(Assumptions!E48*((((('Income Statement'!D6*(1+(Assumptions!C29+$A23)))*(1+(Assumptions!D29+$A23)))*(1+(Assumptions!E29+$A23)))*Assumptions!E46)-((('Income Statement'!D6*(1+(Assumptions!C29+$A23)))*(1+(Assumptions!D29+$A23)))*Assumptions!D46))))/(1+Assumptions!$C$60)^2.5)+((((((((('Income Statement'!D6*(1+(Assumptions!C29+$A23)))*(1+(Assumptions!D29+$A23)))*(1+(Assumptions!E29+$A23)))*(1+(Assumptions!F29+$A23)))*Assumptions!F30)-(((((('Income Statement'!D6*(1+(Assumptions!C29+$A23)))*(1+(Assumptions!D29+$A23)))*(1+(Assumptions!E29+$A23)))*(1+(Assumptions!F29+$A23)))*(Assumptions!F31+D$18))+(((((('Income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Statement'!D6*(1+(Assumptions!C29+$A23)))*(1+(Assumptions!D29+$A23)))*(1+(Assumptions!E29+$A23)))*(1+(Assumptions!F29+$A23)))*Assumptions!F30)*Assumptions!F38))-MAX((((((('Income Statement'!D6*(1+(Assumptions!C29+$A23)))*(1+(Assumptions!D29+$A23)))*(1+(Assumptions!E29+$A23)))*(1+(Assumptions!F29+$A23)))*Assumptions!F30)-(((((('Income Statement'!D6*(1+(Assumptions!C29+$A23)))*(1+(Assumptions!D29+$A23)))*(1+(Assumptions!E29+$A23)))*(1+(Assumptions!F29+$A23)))*(Assumptions!F31+D$18))+(((((('Income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Statement'!D6*(1+(Assumptions!C29+$A23)))*(1+(Assumptions!D29+$A23)))*(1+(Assumptions!E29+$A23)))*(1+(Assumptions!F29+$A23)))*Assumptions!F30)*Assumptions!F38)),0)*Assumptions!F42)+(((((('Income Statement'!D6*(1+(Assumptions!C29+$A23)))*(1+(Assumptions!D29+$A23)))*(1+(Assumptions!E29+$A23)))*(1+(Assumptions!F29+$A23)))*Assumptions!F30)*Assumptions!F38)-(((((('Income Statement'!D6*(1+(Assumptions!C29+$A23)))*(1+(Assumptions!D29+$A23)))*(1+(Assumptions!E29+$A23)))*(1+(Assumptions!F29+$A23)))*Assumptions!F30)*Assumptions!F43)-(Assumptions!F44*(((((('Income Statement'!D6*(1+(Assumptions!C29+$A23)))*(1+(Assumptions!D29+$A23)))*(1+(Assumptions!E29+$A23)))*(1+(Assumptions!F29+$A23)))*Assumptions!F30)-(((('Income Statement'!D6*(1+(Assumptions!C29+$A23)))*(1+(Assumptions!D29+$A23)))*(1+(Assumptions!E29+$A23)))*Assumptions!E30)))-(Assumptions!F48*(((((('Income Statement'!D6*(1+(Assumptions!C29+$A23)))*(1+(Assumptions!D29+$A23)))*(1+(Assumptions!E29+$A23)))*(1+(Assumptions!F29+$A23)))*Assumptions!F46)-(((('Income Statement'!D6*(1+(Assumptions!C29+$A23)))*(1+(Assumptions!D29+$A23)))*(1+(Assumptions!E29+$A23)))*Assumptions!E46))))/(1+Assumptions!$C$60)^3.5)+(((((((((('Income Statement'!D6*(1+(Assumptions!C29+$A23)))*(1+(Assumptions!D29+$A23)))*(1+(Assumptions!E29+$A23)))*(1+(Assumptions!F29+$A23)))*(1+(Assumptions!G29+$A23)))*Assumptions!G30)-((((((('Income Statement'!D6*(1+(Assumptions!C29+$A23)))*(1+(Assumptions!D29+$A23)))*(1+(Assumptions!E29+$A23)))*(1+(Assumptions!F29+$A23)))*(1+(Assumptions!G29+$A23)))*(Assumptions!G31+D$18))+((((((('Income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Statement'!D6*(1+(Assumptions!C29+$A23)))*(1+(Assumptions!D29+$A23)))*(1+(Assumptions!E29+$A23)))*(1+(Assumptions!F29+$A23)))*(1+(Assumptions!G29+$A23)))*(Assumptions!G31+D$18))+((((((('Income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Statement'!D6*(1+(Assumptions!C29+$A23)))*(1+(Assumptions!D29+$A23)))*(1+(Assumptions!E29+$A23)))*(1+(Assumptions!F29+$A23)))*Assumptions!F46))))/(1+Assumptions!$C$60)^4.5))+((((((((((('Income Statement'!D6*(1+(Assumptions!C29+$A23)))*(1+(Assumptions!D29+$A23)))*(1+(Assumptions!E29+$A23)))*(1+(Assumptions!F29+$A23)))*(1+(Assumptions!G29+$A23)))*Assumptions!G30)-((((((('Income Statement'!D6*(1+(Assumptions!C29+$A23)))*(1+(Assumptions!D29+$A23)))*(1+(Assumptions!E29+$A23)))*(1+(Assumptions!F29+$A23)))*(1+(Assumptions!G29+$A23)))*(Assumptions!G31+D$18))+((((((('Income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Statement'!D6*(1+(Assumptions!C29+$A23)))*(1+(Assumptions!D29+$A23)))*(1+(Assumptions!E29+$A23)))*(1+(Assumptions!F29+$A23)))*(1+(Assumptions!G29+$A23)))*(Assumptions!G31+D$18))+((((((('Income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Statement'!D6*(1+(Assumptions!C29+$A23)))*(1+(Assumptions!D29+$A23)))*(1+(Assumptions!E29+$A23)))*(1+(Assumptions!F29+$A23)))*Assumptions!F46))))*(1+Assumptions!$C$61)/(Assumptions!$C$60-Assumptions!$C$61))/(1+Assumptions!$C$60)^5))-Assumptions!$C$25)/Assumptions!$C$21</f>
        <v>26.6332410564579</v>
      </c>
      <c r="E23" s="59" t="n">
        <f aca="false">((((((((('Income Statement'!D6*(1+(Assumptions!C29+$A23)))*Assumptions!C30)-((('Income Statement'!D6*(1+(Assumptions!C29+$A23)))*(Assumptions!C31+E$18))+((('Income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Statement'!D6*(1+(Assumptions!C29+$A23)))*Assumptions!C30)*Assumptions!C38))-MAX(((('Income Statement'!D6*(1+(Assumptions!C29+$A23)))*Assumptions!C30)-((('Income Statement'!D6*(1+(Assumptions!C29+$A23)))*(Assumptions!C31+E$18))+((('Income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Statement'!D6*(1+(Assumptions!C29+$A23)))*Assumptions!C30)*Assumptions!C38)),0)*Assumptions!C42)+((('Income Statement'!D6*(1+(Assumptions!C29+$A23)))*Assumptions!C30)*Assumptions!C38)-((('Income Statement'!D6*(1+(Assumptions!C29+$A23)))*Assumptions!C30)*Assumptions!C43)-(Assumptions!C44*((('Income Statement'!D6*(1+(Assumptions!C29+$A23)))*Assumptions!C30)-'Income Statement'!D9))-(Assumptions!C48*((('Income Statement'!D6*(1+(Assumptions!C29+$A23)))*Assumptions!C46)-'Balance Sheet'!D6)))/(1+Assumptions!$C$60)^0.5)+((((((('Income Statement'!D6*(1+(Assumptions!C29+$A23)))*(1+(Assumptions!D29+$A23)))*Assumptions!D30)-(((('Income Statement'!D6*(1+(Assumptions!C29+$A23)))*(1+(Assumptions!D29+$A23)))*(Assumptions!D31+E$18))+(((('Income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Statement'!D6*(1+(Assumptions!C29+$A23)))*(1+(Assumptions!D29+$A23)))*Assumptions!D30)*Assumptions!D38))-MAX((((('Income Statement'!D6*(1+(Assumptions!C29+$A23)))*(1+(Assumptions!D29+$A23)))*Assumptions!D30)-(((('Income Statement'!D6*(1+(Assumptions!C29+$A23)))*(1+(Assumptions!D29+$A23)))*(Assumptions!D31+E$18))+(((('Income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Statement'!D6*(1+(Assumptions!C29+$A23)))*(1+(Assumptions!D29+$A23)))*Assumptions!D30)*Assumptions!D38)),0)*Assumptions!D42)+(((('Income Statement'!D6*(1+(Assumptions!C29+$A23)))*(1+(Assumptions!D29+$A23)))*Assumptions!D30)*Assumptions!D38)-(((('Income Statement'!D6*(1+(Assumptions!C29+$A23)))*(1+(Assumptions!D29+$A23)))*Assumptions!D30)*Assumptions!D43)-(Assumptions!D44*(((('Income Statement'!D6*(1+(Assumptions!C29+$A23)))*(1+(Assumptions!D29+$A23)))*Assumptions!D30)-(('Income Statement'!D6*(1+(Assumptions!C29+$A23)))*Assumptions!C30)))-(Assumptions!D48*(((('Income Statement'!D6*(1+(Assumptions!C29+$A23)))*(1+(Assumptions!D29+$A23)))*Assumptions!D46)-(('Income Statement'!D6*(1+(Assumptions!C29+$A23)))*Assumptions!C46))))/(1+Assumptions!$C$60)^1.5)+(((((((('Income Statement'!D6*(1+(Assumptions!C29+$A23)))*(1+(Assumptions!D29+$A23)))*(1+(Assumptions!E29+$A23)))*Assumptions!E30)-((((('Income Statement'!D6*(1+(Assumptions!C29+$A23)))*(1+(Assumptions!D29+$A23)))*(1+(Assumptions!E29+$A23)))*(Assumptions!E31+E$18))+((((('Income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Statement'!D6*(1+(Assumptions!C29+$A23)))*(1+(Assumptions!D29+$A23)))*(1+(Assumptions!E29+$A23)))*Assumptions!E30)*Assumptions!E38))-MAX(((((('Income Statement'!D6*(1+(Assumptions!C29+$A23)))*(1+(Assumptions!D29+$A23)))*(1+(Assumptions!E29+$A23)))*Assumptions!E30)-((((('Income Statement'!D6*(1+(Assumptions!C29+$A23)))*(1+(Assumptions!D29+$A23)))*(1+(Assumptions!E29+$A23)))*(Assumptions!E31+E$18))+((((('Income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Statement'!D6*(1+(Assumptions!C29+$A23)))*(1+(Assumptions!D29+$A23)))*(1+(Assumptions!E29+$A23)))*Assumptions!E30)*Assumptions!E38)),0)*Assumptions!E42)+((((('Income Statement'!D6*(1+(Assumptions!C29+$A23)))*(1+(Assumptions!D29+$A23)))*(1+(Assumptions!E29+$A23)))*Assumptions!E30)*Assumptions!E38)-((((('Income Statement'!D6*(1+(Assumptions!C29+$A23)))*(1+(Assumptions!D29+$A23)))*(1+(Assumptions!E29+$A23)))*Assumptions!E30)*Assumptions!E43)-(Assumptions!E44*((((('Income Statement'!D6*(1+(Assumptions!C29+$A23)))*(1+(Assumptions!D29+$A23)))*(1+(Assumptions!E29+$A23)))*Assumptions!E30)-((('Income Statement'!D6*(1+(Assumptions!C29+$A23)))*(1+(Assumptions!D29+$A23)))*Assumptions!D30)))-(Assumptions!E48*((((('Income Statement'!D6*(1+(Assumptions!C29+$A23)))*(1+(Assumptions!D29+$A23)))*(1+(Assumptions!E29+$A23)))*Assumptions!E46)-((('Income Statement'!D6*(1+(Assumptions!C29+$A23)))*(1+(Assumptions!D29+$A23)))*Assumptions!D46))))/(1+Assumptions!$C$60)^2.5)+((((((((('Income Statement'!D6*(1+(Assumptions!C29+$A23)))*(1+(Assumptions!D29+$A23)))*(1+(Assumptions!E29+$A23)))*(1+(Assumptions!F29+$A23)))*Assumptions!F30)-(((((('Income Statement'!D6*(1+(Assumptions!C29+$A23)))*(1+(Assumptions!D29+$A23)))*(1+(Assumptions!E29+$A23)))*(1+(Assumptions!F29+$A23)))*(Assumptions!F31+E$18))+(((((('Income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Statement'!D6*(1+(Assumptions!C29+$A23)))*(1+(Assumptions!D29+$A23)))*(1+(Assumptions!E29+$A23)))*(1+(Assumptions!F29+$A23)))*Assumptions!F30)*Assumptions!F38))-MAX((((((('Income Statement'!D6*(1+(Assumptions!C29+$A23)))*(1+(Assumptions!D29+$A23)))*(1+(Assumptions!E29+$A23)))*(1+(Assumptions!F29+$A23)))*Assumptions!F30)-(((((('Income Statement'!D6*(1+(Assumptions!C29+$A23)))*(1+(Assumptions!D29+$A23)))*(1+(Assumptions!E29+$A23)))*(1+(Assumptions!F29+$A23)))*(Assumptions!F31+E$18))+(((((('Income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Statement'!D6*(1+(Assumptions!C29+$A23)))*(1+(Assumptions!D29+$A23)))*(1+(Assumptions!E29+$A23)))*(1+(Assumptions!F29+$A23)))*Assumptions!F30)*Assumptions!F38)),0)*Assumptions!F42)+(((((('Income Statement'!D6*(1+(Assumptions!C29+$A23)))*(1+(Assumptions!D29+$A23)))*(1+(Assumptions!E29+$A23)))*(1+(Assumptions!F29+$A23)))*Assumptions!F30)*Assumptions!F38)-(((((('Income Statement'!D6*(1+(Assumptions!C29+$A23)))*(1+(Assumptions!D29+$A23)))*(1+(Assumptions!E29+$A23)))*(1+(Assumptions!F29+$A23)))*Assumptions!F30)*Assumptions!F43)-(Assumptions!F44*(((((('Income Statement'!D6*(1+(Assumptions!C29+$A23)))*(1+(Assumptions!D29+$A23)))*(1+(Assumptions!E29+$A23)))*(1+(Assumptions!F29+$A23)))*Assumptions!F30)-(((('Income Statement'!D6*(1+(Assumptions!C29+$A23)))*(1+(Assumptions!D29+$A23)))*(1+(Assumptions!E29+$A23)))*Assumptions!E30)))-(Assumptions!F48*(((((('Income Statement'!D6*(1+(Assumptions!C29+$A23)))*(1+(Assumptions!D29+$A23)))*(1+(Assumptions!E29+$A23)))*(1+(Assumptions!F29+$A23)))*Assumptions!F46)-(((('Income Statement'!D6*(1+(Assumptions!C29+$A23)))*(1+(Assumptions!D29+$A23)))*(1+(Assumptions!E29+$A23)))*Assumptions!E46))))/(1+Assumptions!$C$60)^3.5)+(((((((((('Income Statement'!D6*(1+(Assumptions!C29+$A23)))*(1+(Assumptions!D29+$A23)))*(1+(Assumptions!E29+$A23)))*(1+(Assumptions!F29+$A23)))*(1+(Assumptions!G29+$A23)))*Assumptions!G30)-((((((('Income Statement'!D6*(1+(Assumptions!C29+$A23)))*(1+(Assumptions!D29+$A23)))*(1+(Assumptions!E29+$A23)))*(1+(Assumptions!F29+$A23)))*(1+(Assumptions!G29+$A23)))*(Assumptions!G31+E$18))+((((((('Income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Statement'!D6*(1+(Assumptions!C29+$A23)))*(1+(Assumptions!D29+$A23)))*(1+(Assumptions!E29+$A23)))*(1+(Assumptions!F29+$A23)))*(1+(Assumptions!G29+$A23)))*(Assumptions!G31+E$18))+((((((('Income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Statement'!D6*(1+(Assumptions!C29+$A23)))*(1+(Assumptions!D29+$A23)))*(1+(Assumptions!E29+$A23)))*(1+(Assumptions!F29+$A23)))*Assumptions!F46))))/(1+Assumptions!$C$60)^4.5))+((((((((((('Income Statement'!D6*(1+(Assumptions!C29+$A23)))*(1+(Assumptions!D29+$A23)))*(1+(Assumptions!E29+$A23)))*(1+(Assumptions!F29+$A23)))*(1+(Assumptions!G29+$A23)))*Assumptions!G30)-((((((('Income Statement'!D6*(1+(Assumptions!C29+$A23)))*(1+(Assumptions!D29+$A23)))*(1+(Assumptions!E29+$A23)))*(1+(Assumptions!F29+$A23)))*(1+(Assumptions!G29+$A23)))*(Assumptions!G31+E$18))+((((((('Income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Statement'!D6*(1+(Assumptions!C29+$A23)))*(1+(Assumptions!D29+$A23)))*(1+(Assumptions!E29+$A23)))*(1+(Assumptions!F29+$A23)))*(1+(Assumptions!G29+$A23)))*(Assumptions!G31+E$18))+((((((('Income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Statement'!D6*(1+(Assumptions!C29+$A23)))*(1+(Assumptions!D29+$A23)))*(1+(Assumptions!E29+$A23)))*(1+(Assumptions!F29+$A23)))*Assumptions!F46))))*(1+Assumptions!$C$61)/(Assumptions!$C$60-Assumptions!$C$61))/(1+Assumptions!$C$60)^5))-Assumptions!$C$25)/Assumptions!$C$21</f>
        <v>38.6432877018252</v>
      </c>
      <c r="F23" s="59" t="n">
        <f aca="false">((((((((('Income Statement'!D6*(1+(Assumptions!C29+$A23)))*Assumptions!C30)-((('Income Statement'!D6*(1+(Assumptions!C29+$A23)))*(Assumptions!C31+F$18))+((('Income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Statement'!D6*(1+(Assumptions!C29+$A23)))*Assumptions!C30)*Assumptions!C38))-MAX(((('Income Statement'!D6*(1+(Assumptions!C29+$A23)))*Assumptions!C30)-((('Income Statement'!D6*(1+(Assumptions!C29+$A23)))*(Assumptions!C31+F$18))+((('Income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Statement'!D6*(1+(Assumptions!C29+$A23)))*Assumptions!C30)*Assumptions!C38)),0)*Assumptions!C42)+((('Income Statement'!D6*(1+(Assumptions!C29+$A23)))*Assumptions!C30)*Assumptions!C38)-((('Income Statement'!D6*(1+(Assumptions!C29+$A23)))*Assumptions!C30)*Assumptions!C43)-(Assumptions!C44*((('Income Statement'!D6*(1+(Assumptions!C29+$A23)))*Assumptions!C30)-'Income Statement'!D9))-(Assumptions!C48*((('Income Statement'!D6*(1+(Assumptions!C29+$A23)))*Assumptions!C46)-'Balance Sheet'!D6)))/(1+Assumptions!$C$60)^0.5)+((((((('Income Statement'!D6*(1+(Assumptions!C29+$A23)))*(1+(Assumptions!D29+$A23)))*Assumptions!D30)-(((('Income Statement'!D6*(1+(Assumptions!C29+$A23)))*(1+(Assumptions!D29+$A23)))*(Assumptions!D31+F$18))+(((('Income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Statement'!D6*(1+(Assumptions!C29+$A23)))*(1+(Assumptions!D29+$A23)))*Assumptions!D30)*Assumptions!D38))-MAX((((('Income Statement'!D6*(1+(Assumptions!C29+$A23)))*(1+(Assumptions!D29+$A23)))*Assumptions!D30)-(((('Income Statement'!D6*(1+(Assumptions!C29+$A23)))*(1+(Assumptions!D29+$A23)))*(Assumptions!D31+F$18))+(((('Income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Statement'!D6*(1+(Assumptions!C29+$A23)))*(1+(Assumptions!D29+$A23)))*Assumptions!D30)*Assumptions!D38)),0)*Assumptions!D42)+(((('Income Statement'!D6*(1+(Assumptions!C29+$A23)))*(1+(Assumptions!D29+$A23)))*Assumptions!D30)*Assumptions!D38)-(((('Income Statement'!D6*(1+(Assumptions!C29+$A23)))*(1+(Assumptions!D29+$A23)))*Assumptions!D30)*Assumptions!D43)-(Assumptions!D44*(((('Income Statement'!D6*(1+(Assumptions!C29+$A23)))*(1+(Assumptions!D29+$A23)))*Assumptions!D30)-(('Income Statement'!D6*(1+(Assumptions!C29+$A23)))*Assumptions!C30)))-(Assumptions!D48*(((('Income Statement'!D6*(1+(Assumptions!C29+$A23)))*(1+(Assumptions!D29+$A23)))*Assumptions!D46)-(('Income Statement'!D6*(1+(Assumptions!C29+$A23)))*Assumptions!C46))))/(1+Assumptions!$C$60)^1.5)+(((((((('Income Statement'!D6*(1+(Assumptions!C29+$A23)))*(1+(Assumptions!D29+$A23)))*(1+(Assumptions!E29+$A23)))*Assumptions!E30)-((((('Income Statement'!D6*(1+(Assumptions!C29+$A23)))*(1+(Assumptions!D29+$A23)))*(1+(Assumptions!E29+$A23)))*(Assumptions!E31+F$18))+((((('Income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Statement'!D6*(1+(Assumptions!C29+$A23)))*(1+(Assumptions!D29+$A23)))*(1+(Assumptions!E29+$A23)))*Assumptions!E30)*Assumptions!E38))-MAX(((((('Income Statement'!D6*(1+(Assumptions!C29+$A23)))*(1+(Assumptions!D29+$A23)))*(1+(Assumptions!E29+$A23)))*Assumptions!E30)-((((('Income Statement'!D6*(1+(Assumptions!C29+$A23)))*(1+(Assumptions!D29+$A23)))*(1+(Assumptions!E29+$A23)))*(Assumptions!E31+F$18))+((((('Income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Statement'!D6*(1+(Assumptions!C29+$A23)))*(1+(Assumptions!D29+$A23)))*(1+(Assumptions!E29+$A23)))*Assumptions!E30)*Assumptions!E38)),0)*Assumptions!E42)+((((('Income Statement'!D6*(1+(Assumptions!C29+$A23)))*(1+(Assumptions!D29+$A23)))*(1+(Assumptions!E29+$A23)))*Assumptions!E30)*Assumptions!E38)-((((('Income Statement'!D6*(1+(Assumptions!C29+$A23)))*(1+(Assumptions!D29+$A23)))*(1+(Assumptions!E29+$A23)))*Assumptions!E30)*Assumptions!E43)-(Assumptions!E44*((((('Income Statement'!D6*(1+(Assumptions!C29+$A23)))*(1+(Assumptions!D29+$A23)))*(1+(Assumptions!E29+$A23)))*Assumptions!E30)-((('Income Statement'!D6*(1+(Assumptions!C29+$A23)))*(1+(Assumptions!D29+$A23)))*Assumptions!D30)))-(Assumptions!E48*((((('Income Statement'!D6*(1+(Assumptions!C29+$A23)))*(1+(Assumptions!D29+$A23)))*(1+(Assumptions!E29+$A23)))*Assumptions!E46)-((('Income Statement'!D6*(1+(Assumptions!C29+$A23)))*(1+(Assumptions!D29+$A23)))*Assumptions!D46))))/(1+Assumptions!$C$60)^2.5)+((((((((('Income Statement'!D6*(1+(Assumptions!C29+$A23)))*(1+(Assumptions!D29+$A23)))*(1+(Assumptions!E29+$A23)))*(1+(Assumptions!F29+$A23)))*Assumptions!F30)-(((((('Income Statement'!D6*(1+(Assumptions!C29+$A23)))*(1+(Assumptions!D29+$A23)))*(1+(Assumptions!E29+$A23)))*(1+(Assumptions!F29+$A23)))*(Assumptions!F31+F$18))+(((((('Income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Statement'!D6*(1+(Assumptions!C29+$A23)))*(1+(Assumptions!D29+$A23)))*(1+(Assumptions!E29+$A23)))*(1+(Assumptions!F29+$A23)))*Assumptions!F30)*Assumptions!F38))-MAX((((((('Income Statement'!D6*(1+(Assumptions!C29+$A23)))*(1+(Assumptions!D29+$A23)))*(1+(Assumptions!E29+$A23)))*(1+(Assumptions!F29+$A23)))*Assumptions!F30)-(((((('Income Statement'!D6*(1+(Assumptions!C29+$A23)))*(1+(Assumptions!D29+$A23)))*(1+(Assumptions!E29+$A23)))*(1+(Assumptions!F29+$A23)))*(Assumptions!F31+F$18))+(((((('Income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Statement'!D6*(1+(Assumptions!C29+$A23)))*(1+(Assumptions!D29+$A23)))*(1+(Assumptions!E29+$A23)))*(1+(Assumptions!F29+$A23)))*Assumptions!F30)*Assumptions!F38)),0)*Assumptions!F42)+(((((('Income Statement'!D6*(1+(Assumptions!C29+$A23)))*(1+(Assumptions!D29+$A23)))*(1+(Assumptions!E29+$A23)))*(1+(Assumptions!F29+$A23)))*Assumptions!F30)*Assumptions!F38)-(((((('Income Statement'!D6*(1+(Assumptions!C29+$A23)))*(1+(Assumptions!D29+$A23)))*(1+(Assumptions!E29+$A23)))*(1+(Assumptions!F29+$A23)))*Assumptions!F30)*Assumptions!F43)-(Assumptions!F44*(((((('Income Statement'!D6*(1+(Assumptions!C29+$A23)))*(1+(Assumptions!D29+$A23)))*(1+(Assumptions!E29+$A23)))*(1+(Assumptions!F29+$A23)))*Assumptions!F30)-(((('Income Statement'!D6*(1+(Assumptions!C29+$A23)))*(1+(Assumptions!D29+$A23)))*(1+(Assumptions!E29+$A23)))*Assumptions!E30)))-(Assumptions!F48*(((((('Income Statement'!D6*(1+(Assumptions!C29+$A23)))*(1+(Assumptions!D29+$A23)))*(1+(Assumptions!E29+$A23)))*(1+(Assumptions!F29+$A23)))*Assumptions!F46)-(((('Income Statement'!D6*(1+(Assumptions!C29+$A23)))*(1+(Assumptions!D29+$A23)))*(1+(Assumptions!E29+$A23)))*Assumptions!E46))))/(1+Assumptions!$C$60)^3.5)+(((((((((('Income Statement'!D6*(1+(Assumptions!C29+$A23)))*(1+(Assumptions!D29+$A23)))*(1+(Assumptions!E29+$A23)))*(1+(Assumptions!F29+$A23)))*(1+(Assumptions!G29+$A23)))*Assumptions!G30)-((((((('Income Statement'!D6*(1+(Assumptions!C29+$A23)))*(1+(Assumptions!D29+$A23)))*(1+(Assumptions!E29+$A23)))*(1+(Assumptions!F29+$A23)))*(1+(Assumptions!G29+$A23)))*(Assumptions!G31+F$18))+((((((('Income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Statement'!D6*(1+(Assumptions!C29+$A23)))*(1+(Assumptions!D29+$A23)))*(1+(Assumptions!E29+$A23)))*(1+(Assumptions!F29+$A23)))*(1+(Assumptions!G29+$A23)))*(Assumptions!G31+F$18))+((((((('Income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Statement'!D6*(1+(Assumptions!C29+$A23)))*(1+(Assumptions!D29+$A23)))*(1+(Assumptions!E29+$A23)))*(1+(Assumptions!F29+$A23)))*Assumptions!F46))))/(1+Assumptions!$C$60)^4.5))+((((((((((('Income Statement'!D6*(1+(Assumptions!C29+$A23)))*(1+(Assumptions!D29+$A23)))*(1+(Assumptions!E29+$A23)))*(1+(Assumptions!F29+$A23)))*(1+(Assumptions!G29+$A23)))*Assumptions!G30)-((((((('Income Statement'!D6*(1+(Assumptions!C29+$A23)))*(1+(Assumptions!D29+$A23)))*(1+(Assumptions!E29+$A23)))*(1+(Assumptions!F29+$A23)))*(1+(Assumptions!G29+$A23)))*(Assumptions!G31+F$18))+((((((('Income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Statement'!D6*(1+(Assumptions!C29+$A23)))*(1+(Assumptions!D29+$A23)))*(1+(Assumptions!E29+$A23)))*(1+(Assumptions!F29+$A23)))*(1+(Assumptions!G29+$A23)))*(Assumptions!G31+F$18))+((((((('Income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Statement'!D6*(1+(Assumptions!C29+$A23)))*(1+(Assumptions!D29+$A23)))*(1+(Assumptions!E29+$A23)))*(1+(Assumptions!F29+$A23)))*Assumptions!F46))))*(1+Assumptions!$C$61)/(Assumptions!$C$60-Assumptions!$C$61))/(1+Assumptions!$C$60)^5))-Assumptions!$C$25)/Assumptions!$C$21</f>
        <v>50.6533343471925</v>
      </c>
    </row>
    <row r="25" customFormat="false" ht="27.75" hidden="false" customHeight="true" outlineLevel="0" collapsed="false">
      <c r="A25" s="75" t="s">
        <v>356</v>
      </c>
      <c r="B25" s="75"/>
      <c r="C25" s="75"/>
      <c r="D25" s="75"/>
      <c r="E25" s="75"/>
      <c r="F25" s="75"/>
      <c r="G25" s="75"/>
      <c r="H25" s="75"/>
    </row>
    <row r="27" customFormat="false" ht="18" hidden="false" customHeight="true" outlineLevel="0" collapsed="false">
      <c r="A27" s="6" t="s">
        <v>357</v>
      </c>
      <c r="B27" s="6"/>
      <c r="C27" s="6"/>
      <c r="D27" s="6"/>
      <c r="E27" s="6"/>
      <c r="F27" s="6"/>
      <c r="G27" s="6"/>
    </row>
    <row r="28" customFormat="false" ht="15" hidden="false" customHeight="false" outlineLevel="0" collapsed="false">
      <c r="B28" s="19" t="s">
        <v>358</v>
      </c>
      <c r="C28" s="19" t="s">
        <v>359</v>
      </c>
      <c r="D28" s="19" t="s">
        <v>360</v>
      </c>
    </row>
    <row r="29" customFormat="false" ht="15" hidden="false" customHeight="false" outlineLevel="0" collapsed="false">
      <c r="A29" s="20" t="s">
        <v>361</v>
      </c>
      <c r="B29" s="76" t="n">
        <v>-0.04</v>
      </c>
      <c r="C29" s="76" t="n">
        <v>0</v>
      </c>
      <c r="D29" s="76" t="n">
        <v>0.04</v>
      </c>
    </row>
    <row r="30" customFormat="false" ht="15" hidden="false" customHeight="false" outlineLevel="0" collapsed="false">
      <c r="A30" s="20" t="s">
        <v>362</v>
      </c>
      <c r="B30" s="77" t="n">
        <v>0.002</v>
      </c>
      <c r="C30" s="77" t="n">
        <v>0</v>
      </c>
      <c r="D30" s="77" t="n">
        <v>-0.002</v>
      </c>
    </row>
    <row r="31" customFormat="false" ht="15" hidden="false" customHeight="false" outlineLevel="0" collapsed="false">
      <c r="A31" s="20" t="s">
        <v>363</v>
      </c>
      <c r="B31" s="78" t="n">
        <v>0.135</v>
      </c>
      <c r="C31" s="78" t="n">
        <f aca="false">Assumptions!$C$60</f>
        <v>0.1095</v>
      </c>
      <c r="D31" s="78" t="n">
        <v>0.0995</v>
      </c>
    </row>
    <row r="33" customFormat="false" ht="15" hidden="false" customHeight="false" outlineLevel="0" collapsed="false">
      <c r="A33" s="35" t="s">
        <v>364</v>
      </c>
      <c r="B33" s="58" t="n">
        <f aca="false">((((((((('Income Statement'!D6*(1+(Assumptions!C29+B29)))*Assumptions!C30)-((('Income Statement'!D6*(1+(Assumptions!C29+B29)))*(Assumptions!C31+B30))+((('Income Statement'!D6*(1+(Assumptions!C29+B29)))*Assumptions!C30)*Assumptions!C32)+((('Income Statement'!D6*(1+(Assumptions!C29+B29)))*Assumptions!C30)*Assumptions!C33)+((('Income Statement'!D6*(1+(Assumptions!C29+B29)))*Assumptions!C30)*Assumptions!C34)+((('Income Statement'!D6*(1+(Assumptions!C29+B29)))*Assumptions!C30)*Assumptions!C35)+((('Income Statement'!D6*(1+(Assumptions!C29+B29)))*Assumptions!C30)*Assumptions!C36)+((('Income Statement'!D6*(1+(Assumptions!C29+B29)))*Assumptions!C30)*Assumptions!C37))-((('Income Statement'!D6*(1+(Assumptions!C29+B29)))*Assumptions!C30)*Assumptions!C38))-MAX(((('Income Statement'!D6*(1+(Assumptions!C29+B29)))*Assumptions!C30)-((('Income Statement'!D6*(1+(Assumptions!C29+B29)))*(Assumptions!C31+B30))+((('Income Statement'!D6*(1+(Assumptions!C29+B29)))*Assumptions!C30)*Assumptions!C32)+((('Income Statement'!D6*(1+(Assumptions!C29+B29)))*Assumptions!C30)*Assumptions!C33)+((('Income Statement'!D6*(1+(Assumptions!C29+B29)))*Assumptions!C30)*Assumptions!C34)+((('Income Statement'!D6*(1+(Assumptions!C29+B29)))*Assumptions!C30)*Assumptions!C35)+((('Income Statement'!D6*(1+(Assumptions!C29+B29)))*Assumptions!C30)*Assumptions!C36)+((('Income Statement'!D6*(1+(Assumptions!C29+B29)))*Assumptions!C30)*Assumptions!C37))-((('Income Statement'!D6*(1+(Assumptions!C29+B29)))*Assumptions!C30)*Assumptions!C38)),0)*Assumptions!C42)+((('Income Statement'!D6*(1+(Assumptions!C29+B29)))*Assumptions!C30)*Assumptions!C38)-((('Income Statement'!D6*(1+(Assumptions!C29+B29)))*Assumptions!C30)*Assumptions!C43)-(Assumptions!C44*((('Income Statement'!D6*(1+(Assumptions!C29+B29)))*Assumptions!C30)-'Income Statement'!D9))-(Assumptions!C48*((('Income Statement'!D6*(1+(Assumptions!C29+B29)))*Assumptions!C46)-'Balance Sheet'!D6)))/(1+B31)^0.5)+((((((('Income Statement'!D6*(1+(Assumptions!C29+B29)))*(1+(Assumptions!D29+B29)))*Assumptions!D30)-(((('Income Statement'!D6*(1+(Assumptions!C29+B29)))*(1+(Assumptions!D29+B29)))*(Assumptions!D31+B30))+(((('Income Statement'!D6*(1+(Assumptions!C29+B29)))*(1+(Assumptions!D29+B29)))*Assumptions!D30)*Assumptions!D32)+(((('Income Statement'!D6*(1+(Assumptions!C29+B29)))*(1+(Assumptions!D29+B29)))*Assumptions!D30)*Assumptions!D33)+(((('Income Statement'!D6*(1+(Assumptions!C29+B29)))*(1+(Assumptions!D29+B29)))*Assumptions!D30)*Assumptions!D34)+(((('Income Statement'!D6*(1+(Assumptions!C29+B29)))*(1+(Assumptions!D29+B29)))*Assumptions!D30)*Assumptions!D35)+(((('Income Statement'!D6*(1+(Assumptions!C29+B29)))*(1+(Assumptions!D29+B29)))*Assumptions!D30)*Assumptions!D36)+(((('Income Statement'!D6*(1+(Assumptions!C29+B29)))*(1+(Assumptions!D29+B29)))*Assumptions!D30)*Assumptions!D37))-(((('Income Statement'!D6*(1+(Assumptions!C29+B29)))*(1+(Assumptions!D29+B29)))*Assumptions!D30)*Assumptions!D38))-MAX((((('Income Statement'!D6*(1+(Assumptions!C29+B29)))*(1+(Assumptions!D29+B29)))*Assumptions!D30)-(((('Income Statement'!D6*(1+(Assumptions!C29+B29)))*(1+(Assumptions!D29+B29)))*(Assumptions!D31+B30))+(((('Income Statement'!D6*(1+(Assumptions!C29+B29)))*(1+(Assumptions!D29+B29)))*Assumptions!D30)*Assumptions!D32)+(((('Income Statement'!D6*(1+(Assumptions!C29+B29)))*(1+(Assumptions!D29+B29)))*Assumptions!D30)*Assumptions!D33)+(((('Income Statement'!D6*(1+(Assumptions!C29+B29)))*(1+(Assumptions!D29+B29)))*Assumptions!D30)*Assumptions!D34)+(((('Income Statement'!D6*(1+(Assumptions!C29+B29)))*(1+(Assumptions!D29+B29)))*Assumptions!D30)*Assumptions!D35)+(((('Income Statement'!D6*(1+(Assumptions!C29+B29)))*(1+(Assumptions!D29+B29)))*Assumptions!D30)*Assumptions!D36)+(((('Income Statement'!D6*(1+(Assumptions!C29+B29)))*(1+(Assumptions!D29+B29)))*Assumptions!D30)*Assumptions!D37))-(((('Income Statement'!D6*(1+(Assumptions!C29+B29)))*(1+(Assumptions!D29+B29)))*Assumptions!D30)*Assumptions!D38)),0)*Assumptions!D42)+(((('Income Statement'!D6*(1+(Assumptions!C29+B29)))*(1+(Assumptions!D29+B29)))*Assumptions!D30)*Assumptions!D38)-(((('Income Statement'!D6*(1+(Assumptions!C29+B29)))*(1+(Assumptions!D29+B29)))*Assumptions!D30)*Assumptions!D43)-(Assumptions!D44*(((('Income Statement'!D6*(1+(Assumptions!C29+B29)))*(1+(Assumptions!D29+B29)))*Assumptions!D30)-(('Income Statement'!D6*(1+(Assumptions!C29+B29)))*Assumptions!C30)))-(Assumptions!D48*(((('Income Statement'!D6*(1+(Assumptions!C29+B29)))*(1+(Assumptions!D29+B29)))*Assumptions!D46)-(('Income Statement'!D6*(1+(Assumptions!C29+B29)))*Assumptions!C46))))/(1+B31)^1.5)+(((((((('Income Statement'!D6*(1+(Assumptions!C29+B29)))*(1+(Assumptions!D29+B29)))*(1+(Assumptions!E29+B29)))*Assumptions!E30)-((((('Income Statement'!D6*(1+(Assumptions!C29+B29)))*(1+(Assumptions!D29+B29)))*(1+(Assumptions!E29+B29)))*(Assumptions!E31+B30))+((((('Income Statement'!D6*(1+(Assumptions!C29+B29)))*(1+(Assumptions!D29+B29)))*(1+(Assumptions!E29+B29)))*Assumptions!E30)*Assumptions!E32)+((((('Income Statement'!D6*(1+(Assumptions!C29+B29)))*(1+(Assumptions!D29+B29)))*(1+(Assumptions!E29+B29)))*Assumptions!E30)*Assumptions!E33)+((((('Income Statement'!D6*(1+(Assumptions!C29+B29)))*(1+(Assumptions!D29+B29)))*(1+(Assumptions!E29+B29)))*Assumptions!E30)*Assumptions!E34)+((((('Income Statement'!D6*(1+(Assumptions!C29+B29)))*(1+(Assumptions!D29+B29)))*(1+(Assumptions!E29+B29)))*Assumptions!E30)*Assumptions!E35)+((((('Income Statement'!D6*(1+(Assumptions!C29+B29)))*(1+(Assumptions!D29+B29)))*(1+(Assumptions!E29+B29)))*Assumptions!E30)*Assumptions!E36)+((((('Income Statement'!D6*(1+(Assumptions!C29+B29)))*(1+(Assumptions!D29+B29)))*(1+(Assumptions!E29+B29)))*Assumptions!E30)*Assumptions!E37))-((((('Income Statement'!D6*(1+(Assumptions!C29+B29)))*(1+(Assumptions!D29+B29)))*(1+(Assumptions!E29+B29)))*Assumptions!E30)*Assumptions!E38))-MAX(((((('Income Statement'!D6*(1+(Assumptions!C29+B29)))*(1+(Assumptions!D29+B29)))*(1+(Assumptions!E29+B29)))*Assumptions!E30)-((((('Income Statement'!D6*(1+(Assumptions!C29+B29)))*(1+(Assumptions!D29+B29)))*(1+(Assumptions!E29+B29)))*(Assumptions!E31+B30))+((((('Income Statement'!D6*(1+(Assumptions!C29+B29)))*(1+(Assumptions!D29+B29)))*(1+(Assumptions!E29+B29)))*Assumptions!E30)*Assumptions!E32)+((((('Income Statement'!D6*(1+(Assumptions!C29+B29)))*(1+(Assumptions!D29+B29)))*(1+(Assumptions!E29+B29)))*Assumptions!E30)*Assumptions!E33)+((((('Income Statement'!D6*(1+(Assumptions!C29+B29)))*(1+(Assumptions!D29+B29)))*(1+(Assumptions!E29+B29)))*Assumptions!E30)*Assumptions!E34)+((((('Income Statement'!D6*(1+(Assumptions!C29+B29)))*(1+(Assumptions!D29+B29)))*(1+(Assumptions!E29+B29)))*Assumptions!E30)*Assumptions!E35)+((((('Income Statement'!D6*(1+(Assumptions!C29+B29)))*(1+(Assumptions!D29+B29)))*(1+(Assumptions!E29+B29)))*Assumptions!E30)*Assumptions!E36)+((((('Income Statement'!D6*(1+(Assumptions!C29+B29)))*(1+(Assumptions!D29+B29)))*(1+(Assumptions!E29+B29)))*Assumptions!E30)*Assumptions!E37))-((((('Income Statement'!D6*(1+(Assumptions!C29+B29)))*(1+(Assumptions!D29+B29)))*(1+(Assumptions!E29+B29)))*Assumptions!E30)*Assumptions!E38)),0)*Assumptions!E42)+((((('Income Statement'!D6*(1+(Assumptions!C29+B29)))*(1+(Assumptions!D29+B29)))*(1+(Assumptions!E29+B29)))*Assumptions!E30)*Assumptions!E38)-((((('Income Statement'!D6*(1+(Assumptions!C29+B29)))*(1+(Assumptions!D29+B29)))*(1+(Assumptions!E29+B29)))*Assumptions!E30)*Assumptions!E43)-(Assumptions!E44*((((('Income Statement'!D6*(1+(Assumptions!C29+B29)))*(1+(Assumptions!D29+B29)))*(1+(Assumptions!E29+B29)))*Assumptions!E30)-((('Income Statement'!D6*(1+(Assumptions!C29+B29)))*(1+(Assumptions!D29+B29)))*Assumptions!D30)))-(Assumptions!E48*((((('Income Statement'!D6*(1+(Assumptions!C29+B29)))*(1+(Assumptions!D29+B29)))*(1+(Assumptions!E29+B29)))*Assumptions!E46)-((('Income Statement'!D6*(1+(Assumptions!C29+B29)))*(1+(Assumptions!D29+B29)))*Assumptions!D46))))/(1+B31)^2.5)+((((((((('Income Statement'!D6*(1+(Assumptions!C29+B29)))*(1+(Assumptions!D29+B29)))*(1+(Assumptions!E29+B29)))*(1+(Assumptions!F29+B29)))*Assumptions!F30)-(((((('Income Statement'!D6*(1+(Assumptions!C29+B29)))*(1+(Assumptions!D29+B29)))*(1+(Assumptions!E29+B29)))*(1+(Assumptions!F29+B29)))*(Assumptions!F31+B30))+(((((('Income Statement'!D6*(1+(Assumptions!C29+B29)))*(1+(Assumptions!D29+B29)))*(1+(Assumptions!E29+B29)))*(1+(Assumptions!F29+B29)))*Assumptions!F30)*Assumptions!F32)+(((((('Income Statement'!D6*(1+(Assumptions!C29+B29)))*(1+(Assumptions!D29+B29)))*(1+(Assumptions!E29+B29)))*(1+(Assumptions!F29+B29)))*Assumptions!F30)*Assumptions!F33)+(((((('Income Statement'!D6*(1+(Assumptions!C29+B29)))*(1+(Assumptions!D29+B29)))*(1+(Assumptions!E29+B29)))*(1+(Assumptions!F29+B29)))*Assumptions!F30)*Assumptions!F34)+(((((('Income Statement'!D6*(1+(Assumptions!C29+B29)))*(1+(Assumptions!D29+B29)))*(1+(Assumptions!E29+B29)))*(1+(Assumptions!F29+B29)))*Assumptions!F30)*Assumptions!F35)+(((((('Income Statement'!D6*(1+(Assumptions!C29+B29)))*(1+(Assumptions!D29+B29)))*(1+(Assumptions!E29+B29)))*(1+(Assumptions!F29+B29)))*Assumptions!F30)*Assumptions!F36)+(((((('Income Statement'!D6*(1+(Assumptions!C29+B29)))*(1+(Assumptions!D29+B29)))*(1+(Assumptions!E29+B29)))*(1+(Assumptions!F29+B29)))*Assumptions!F30)*Assumptions!F37))-(((((('Income Statement'!D6*(1+(Assumptions!C29+B29)))*(1+(Assumptions!D29+B29)))*(1+(Assumptions!E29+B29)))*(1+(Assumptions!F29+B29)))*Assumptions!F30)*Assumptions!F38))-MAX((((((('Income Statement'!D6*(1+(Assumptions!C29+B29)))*(1+(Assumptions!D29+B29)))*(1+(Assumptions!E29+B29)))*(1+(Assumptions!F29+B29)))*Assumptions!F30)-(((((('Income Statement'!D6*(1+(Assumptions!C29+B29)))*(1+(Assumptions!D29+B29)))*(1+(Assumptions!E29+B29)))*(1+(Assumptions!F29+B29)))*(Assumptions!F31+B30))+(((((('Income Statement'!D6*(1+(Assumptions!C29+B29)))*(1+(Assumptions!D29+B29)))*(1+(Assumptions!E29+B29)))*(1+(Assumptions!F29+B29)))*Assumptions!F30)*Assumptions!F32)+(((((('Income Statement'!D6*(1+(Assumptions!C29+B29)))*(1+(Assumptions!D29+B29)))*(1+(Assumptions!E29+B29)))*(1+(Assumptions!F29+B29)))*Assumptions!F30)*Assumptions!F33)+(((((('Income Statement'!D6*(1+(Assumptions!C29+B29)))*(1+(Assumptions!D29+B29)))*(1+(Assumptions!E29+B29)))*(1+(Assumptions!F29+B29)))*Assumptions!F30)*Assumptions!F34)+(((((('Income Statement'!D6*(1+(Assumptions!C29+B29)))*(1+(Assumptions!D29+B29)))*(1+(Assumptions!E29+B29)))*(1+(Assumptions!F29+B29)))*Assumptions!F30)*Assumptions!F35)+(((((('Income Statement'!D6*(1+(Assumptions!C29+B29)))*(1+(Assumptions!D29+B29)))*(1+(Assumptions!E29+B29)))*(1+(Assumptions!F29+B29)))*Assumptions!F30)*Assumptions!F36)+(((((('Income Statement'!D6*(1+(Assumptions!C29+B29)))*(1+(Assumptions!D29+B29)))*(1+(Assumptions!E29+B29)))*(1+(Assumptions!F29+B29)))*Assumptions!F30)*Assumptions!F37))-(((((('Income Statement'!D6*(1+(Assumptions!C29+B29)))*(1+(Assumptions!D29+B29)))*(1+(Assumptions!E29+B29)))*(1+(Assumptions!F29+B29)))*Assumptions!F30)*Assumptions!F38)),0)*Assumptions!F42)+(((((('Income Statement'!D6*(1+(Assumptions!C29+B29)))*(1+(Assumptions!D29+B29)))*(1+(Assumptions!E29+B29)))*(1+(Assumptions!F29+B29)))*Assumptions!F30)*Assumptions!F38)-(((((('Income Statement'!D6*(1+(Assumptions!C29+B29)))*(1+(Assumptions!D29+B29)))*(1+(Assumptions!E29+B29)))*(1+(Assumptions!F29+B29)))*Assumptions!F30)*Assumptions!F43)-(Assumptions!F44*(((((('Income Statement'!D6*(1+(Assumptions!C29+B29)))*(1+(Assumptions!D29+B29)))*(1+(Assumptions!E29+B29)))*(1+(Assumptions!F29+B29)))*Assumptions!F30)-(((('Income Statement'!D6*(1+(Assumptions!C29+B29)))*(1+(Assumptions!D29+B29)))*(1+(Assumptions!E29+B29)))*Assumptions!E30)))-(Assumptions!F48*(((((('Income Statement'!D6*(1+(Assumptions!C29+B29)))*(1+(Assumptions!D29+B29)))*(1+(Assumptions!E29+B29)))*(1+(Assumptions!F29+B29)))*Assumptions!F46)-(((('Income Statement'!D6*(1+(Assumptions!C29+B29)))*(1+(Assumptions!D29+B29)))*(1+(Assumptions!E29+B29)))*Assumptions!E46))))/(1+B31)^3.5)+(((((((((('Income Statement'!D6*(1+(Assumptions!C29+B29)))*(1+(Assumptions!D29+B29)))*(1+(Assumptions!E29+B29)))*(1+(Assumptions!F29+B29)))*(1+(Assumptions!G29+B29)))*Assumptions!G30)-((((((('Income Statement'!D6*(1+(Assumptions!C29+B29)))*(1+(Assumptions!D29+B29)))*(1+(Assumptions!E29+B29)))*(1+(Assumptions!F29+B29)))*(1+(Assumptions!G29+B29)))*(Assumptions!G31+B30))+((((((('Income Statement'!D6*(1+(Assumptions!C29+B29)))*(1+(Assumptions!D29+B29)))*(1+(Assumptions!E29+B29)))*(1+(Assumptions!F29+B29)))*(1+(Assumptions!G29+B29)))*Assumptions!G30)*Assumptions!G32)+((((((('Income Statement'!D6*(1+(Assumptions!C29+B29)))*(1+(Assumptions!D29+B29)))*(1+(Assumptions!E29+B29)))*(1+(Assumptions!F29+B29)))*(1+(Assumptions!G29+B29)))*Assumptions!G30)*Assumptions!G33)+((((((('Income Statement'!D6*(1+(Assumptions!C29+B29)))*(1+(Assumptions!D29+B29)))*(1+(Assumptions!E29+B29)))*(1+(Assumptions!F29+B29)))*(1+(Assumptions!G29+B29)))*Assumptions!G30)*Assumptions!G34)+((((((('Income Statement'!D6*(1+(Assumptions!C29+B29)))*(1+(Assumptions!D29+B29)))*(1+(Assumptions!E29+B29)))*(1+(Assumptions!F29+B29)))*(1+(Assumptions!G29+B29)))*Assumptions!G30)*Assumptions!G35)+((((((('Income Statement'!D6*(1+(Assumptions!C29+B29)))*(1+(Assumptions!D29+B29)))*(1+(Assumptions!E29+B29)))*(1+(Assumptions!F29+B29)))*(1+(Assumptions!G29+B29)))*Assumptions!G30)*Assumptions!G36)+((((((('Income Statement'!D6*(1+(Assumptions!C29+B29)))*(1+(Assumptions!D29+B29)))*(1+(Assumptions!E29+B29)))*(1+(Assumptions!F29+B29)))*(1+(Assumptions!G29+B29)))*Assumptions!G30)*Assumptions!G37))-((((((('Income Statement'!D6*(1+(Assumptions!C29+B29)))*(1+(Assumptions!D29+B29)))*(1+(Assumptions!E29+B29)))*(1+(Assumptions!F29+B29)))*(1+(Assumptions!G29+B29)))*Assumptions!G30)*Assumptions!G38))-MAX(((((((('Income Statement'!D6*(1+(Assumptions!C29+B29)))*(1+(Assumptions!D29+B29)))*(1+(Assumptions!E29+B29)))*(1+(Assumptions!F29+B29)))*(1+(Assumptions!G29+B29)))*Assumptions!G30)-((((((('Income Statement'!D6*(1+(Assumptions!C29+B29)))*(1+(Assumptions!D29+B29)))*(1+(Assumptions!E29+B29)))*(1+(Assumptions!F29+B29)))*(1+(Assumptions!G29+B29)))*(Assumptions!G31+B30))+((((((('Income Statement'!D6*(1+(Assumptions!C29+B29)))*(1+(Assumptions!D29+B29)))*(1+(Assumptions!E29+B29)))*(1+(Assumptions!F29+B29)))*(1+(Assumptions!G29+B29)))*Assumptions!G30)*Assumptions!G32)+((((((('Income Statement'!D6*(1+(Assumptions!C29+B29)))*(1+(Assumptions!D29+B29)))*(1+(Assumptions!E29+B29)))*(1+(Assumptions!F29+B29)))*(1+(Assumptions!G29+B29)))*Assumptions!G30)*Assumptions!G33)+((((((('Income Statement'!D6*(1+(Assumptions!C29+B29)))*(1+(Assumptions!D29+B29)))*(1+(Assumptions!E29+B29)))*(1+(Assumptions!F29+B29)))*(1+(Assumptions!G29+B29)))*Assumptions!G30)*Assumptions!G34)+((((((('Income Statement'!D6*(1+(Assumptions!C29+B29)))*(1+(Assumptions!D29+B29)))*(1+(Assumptions!E29+B29)))*(1+(Assumptions!F29+B29)))*(1+(Assumptions!G29+B29)))*Assumptions!G30)*Assumptions!G35)+((((((('Income Statement'!D6*(1+(Assumptions!C29+B29)))*(1+(Assumptions!D29+B29)))*(1+(Assumptions!E29+B29)))*(1+(Assumptions!F29+B29)))*(1+(Assumptions!G29+B29)))*Assumptions!G30)*Assumptions!G36)+((((((('Income Statement'!D6*(1+(Assumptions!C29+B29)))*(1+(Assumptions!D29+B29)))*(1+(Assumptions!E29+B29)))*(1+(Assumptions!F29+B29)))*(1+(Assumptions!G29+B29)))*Assumptions!G30)*Assumptions!G37))-((((((('Income Statement'!D6*(1+(Assumptions!C29+B29)))*(1+(Assumptions!D29+B29)))*(1+(Assumptions!E29+B29)))*(1+(Assumptions!F29+B29)))*(1+(Assumptions!G29+B29)))*Assumptions!G30)*Assumptions!G38)),0)*Assumptions!G42)+((((((('Income Statement'!D6*(1+(Assumptions!C29+B29)))*(1+(Assumptions!D29+B29)))*(1+(Assumptions!E29+B29)))*(1+(Assumptions!F29+B29)))*(1+(Assumptions!G29+B29)))*Assumptions!G30)*Assumptions!G38)-((((((('Income Statement'!D6*(1+(Assumptions!C29+B29)))*(1+(Assumptions!D29+B29)))*(1+(Assumptions!E29+B29)))*(1+(Assumptions!F29+B29)))*(1+(Assumptions!G29+B29)))*Assumptions!G30)*Assumptions!G43)-(Assumptions!G44*((((((('Income Statement'!D6*(1+(Assumptions!C29+B29)))*(1+(Assumptions!D29+B29)))*(1+(Assumptions!E29+B29)))*(1+(Assumptions!F29+B29)))*(1+(Assumptions!G29+B29)))*Assumptions!G30)-((((('Income Statement'!D6*(1+(Assumptions!C29+B29)))*(1+(Assumptions!D29+B29)))*(1+(Assumptions!E29+B29)))*(1+(Assumptions!F29+B29)))*Assumptions!F30)))-(Assumptions!G48*((((((('Income Statement'!D6*(1+(Assumptions!C29+B29)))*(1+(Assumptions!D29+B29)))*(1+(Assumptions!E29+B29)))*(1+(Assumptions!F29+B29)))*(1+(Assumptions!G29+B29)))*Assumptions!G46)-((((('Income Statement'!D6*(1+(Assumptions!C29+B29)))*(1+(Assumptions!D29+B29)))*(1+(Assumptions!E29+B29)))*(1+(Assumptions!F29+B29)))*Assumptions!F46))))/(1+B31)^4.5))+((((((((((('Income Statement'!D6*(1+(Assumptions!C29+B29)))*(1+(Assumptions!D29+B29)))*(1+(Assumptions!E29+B29)))*(1+(Assumptions!F29+B29)))*(1+(Assumptions!G29+B29)))*Assumptions!G30)-((((((('Income Statement'!D6*(1+(Assumptions!C29+B29)))*(1+(Assumptions!D29+B29)))*(1+(Assumptions!E29+B29)))*(1+(Assumptions!F29+B29)))*(1+(Assumptions!G29+B29)))*(Assumptions!G31+B30))+((((((('Income Statement'!D6*(1+(Assumptions!C29+B29)))*(1+(Assumptions!D29+B29)))*(1+(Assumptions!E29+B29)))*(1+(Assumptions!F29+B29)))*(1+(Assumptions!G29+B29)))*Assumptions!G30)*Assumptions!G32)+((((((('Income Statement'!D6*(1+(Assumptions!C29+B29)))*(1+(Assumptions!D29+B29)))*(1+(Assumptions!E29+B29)))*(1+(Assumptions!F29+B29)))*(1+(Assumptions!G29+B29)))*Assumptions!G30)*Assumptions!G33)+((((((('Income Statement'!D6*(1+(Assumptions!C29+B29)))*(1+(Assumptions!D29+B29)))*(1+(Assumptions!E29+B29)))*(1+(Assumptions!F29+B29)))*(1+(Assumptions!G29+B29)))*Assumptions!G30)*Assumptions!G34)+((((((('Income Statement'!D6*(1+(Assumptions!C29+B29)))*(1+(Assumptions!D29+B29)))*(1+(Assumptions!E29+B29)))*(1+(Assumptions!F29+B29)))*(1+(Assumptions!G29+B29)))*Assumptions!G30)*Assumptions!G35)+((((((('Income Statement'!D6*(1+(Assumptions!C29+B29)))*(1+(Assumptions!D29+B29)))*(1+(Assumptions!E29+B29)))*(1+(Assumptions!F29+B29)))*(1+(Assumptions!G29+B29)))*Assumptions!G30)*Assumptions!G36)+((((((('Income Statement'!D6*(1+(Assumptions!C29+B29)))*(1+(Assumptions!D29+B29)))*(1+(Assumptions!E29+B29)))*(1+(Assumptions!F29+B29)))*(1+(Assumptions!G29+B29)))*Assumptions!G30)*Assumptions!G37))-((((((('Income Statement'!D6*(1+(Assumptions!C29+B29)))*(1+(Assumptions!D29+B29)))*(1+(Assumptions!E29+B29)))*(1+(Assumptions!F29+B29)))*(1+(Assumptions!G29+B29)))*Assumptions!G30)*Assumptions!G38))-MAX(((((((('Income Statement'!D6*(1+(Assumptions!C29+B29)))*(1+(Assumptions!D29+B29)))*(1+(Assumptions!E29+B29)))*(1+(Assumptions!F29+B29)))*(1+(Assumptions!G29+B29)))*Assumptions!G30)-((((((('Income Statement'!D6*(1+(Assumptions!C29+B29)))*(1+(Assumptions!D29+B29)))*(1+(Assumptions!E29+B29)))*(1+(Assumptions!F29+B29)))*(1+(Assumptions!G29+B29)))*(Assumptions!G31+B30))+((((((('Income Statement'!D6*(1+(Assumptions!C29+B29)))*(1+(Assumptions!D29+B29)))*(1+(Assumptions!E29+B29)))*(1+(Assumptions!F29+B29)))*(1+(Assumptions!G29+B29)))*Assumptions!G30)*Assumptions!G32)+((((((('Income Statement'!D6*(1+(Assumptions!C29+B29)))*(1+(Assumptions!D29+B29)))*(1+(Assumptions!E29+B29)))*(1+(Assumptions!F29+B29)))*(1+(Assumptions!G29+B29)))*Assumptions!G30)*Assumptions!G33)+((((((('Income Statement'!D6*(1+(Assumptions!C29+B29)))*(1+(Assumptions!D29+B29)))*(1+(Assumptions!E29+B29)))*(1+(Assumptions!F29+B29)))*(1+(Assumptions!G29+B29)))*Assumptions!G30)*Assumptions!G34)+((((((('Income Statement'!D6*(1+(Assumptions!C29+B29)))*(1+(Assumptions!D29+B29)))*(1+(Assumptions!E29+B29)))*(1+(Assumptions!F29+B29)))*(1+(Assumptions!G29+B29)))*Assumptions!G30)*Assumptions!G35)+((((((('Income Statement'!D6*(1+(Assumptions!C29+B29)))*(1+(Assumptions!D29+B29)))*(1+(Assumptions!E29+B29)))*(1+(Assumptions!F29+B29)))*(1+(Assumptions!G29+B29)))*Assumptions!G30)*Assumptions!G36)+((((((('Income Statement'!D6*(1+(Assumptions!C29+B29)))*(1+(Assumptions!D29+B29)))*(1+(Assumptions!E29+B29)))*(1+(Assumptions!F29+B29)))*(1+(Assumptions!G29+B29)))*Assumptions!G30)*Assumptions!G37))-((((((('Income Statement'!D6*(1+(Assumptions!C29+B29)))*(1+(Assumptions!D29+B29)))*(1+(Assumptions!E29+B29)))*(1+(Assumptions!F29+B29)))*(1+(Assumptions!G29+B29)))*Assumptions!G30)*Assumptions!G38)),0)*Assumptions!G42)+((((((('Income Statement'!D6*(1+(Assumptions!C29+B29)))*(1+(Assumptions!D29+B29)))*(1+(Assumptions!E29+B29)))*(1+(Assumptions!F29+B29)))*(1+(Assumptions!G29+B29)))*Assumptions!G30)*Assumptions!G38)-((((((('Income Statement'!D6*(1+(Assumptions!C29+B29)))*(1+(Assumptions!D29+B29)))*(1+(Assumptions!E29+B29)))*(1+(Assumptions!F29+B29)))*(1+(Assumptions!G29+B29)))*Assumptions!G30)*Assumptions!G43)-(Assumptions!G44*((((((('Income Statement'!D6*(1+(Assumptions!C29+B29)))*(1+(Assumptions!D29+B29)))*(1+(Assumptions!E29+B29)))*(1+(Assumptions!F29+B29)))*(1+(Assumptions!G29+B29)))*Assumptions!G30)-((((('Income Statement'!D6*(1+(Assumptions!C29+B29)))*(1+(Assumptions!D29+B29)))*(1+(Assumptions!E29+B29)))*(1+(Assumptions!F29+B29)))*Assumptions!F30)))-(Assumptions!G48*((((((('Income Statement'!D6*(1+(Assumptions!C29+B29)))*(1+(Assumptions!D29+B29)))*(1+(Assumptions!E29+B29)))*(1+(Assumptions!F29+B29)))*(1+(Assumptions!G29+B29)))*Assumptions!G46)-((((('Income Statement'!D6*(1+(Assumptions!C29+B29)))*(1+(Assumptions!D29+B29)))*(1+(Assumptions!E29+B29)))*(1+(Assumptions!F29+B29)))*Assumptions!F46))))*(1+Assumptions!$C$61)/(B31-Assumptions!$C$61))/(1+B31)^5))-Assumptions!$C$25)/Assumptions!$C$21</f>
        <v>7.56525916074132</v>
      </c>
      <c r="C33" s="58" t="n">
        <f aca="false">((((((((('Income Statement'!D6*(1+(Assumptions!C29+C29)))*Assumptions!C30)-((('Income Statement'!D6*(1+(Assumptions!C29+C29)))*(Assumptions!C31+C30))+((('Income Statement'!D6*(1+(Assumptions!C29+C29)))*Assumptions!C30)*Assumptions!C32)+((('Income Statement'!D6*(1+(Assumptions!C29+C29)))*Assumptions!C30)*Assumptions!C33)+((('Income Statement'!D6*(1+(Assumptions!C29+C29)))*Assumptions!C30)*Assumptions!C34)+((('Income Statement'!D6*(1+(Assumptions!C29+C29)))*Assumptions!C30)*Assumptions!C35)+((('Income Statement'!D6*(1+(Assumptions!C29+C29)))*Assumptions!C30)*Assumptions!C36)+((('Income Statement'!D6*(1+(Assumptions!C29+C29)))*Assumptions!C30)*Assumptions!C37))-((('Income Statement'!D6*(1+(Assumptions!C29+C29)))*Assumptions!C30)*Assumptions!C38))-MAX(((('Income Statement'!D6*(1+(Assumptions!C29+C29)))*Assumptions!C30)-((('Income Statement'!D6*(1+(Assumptions!C29+C29)))*(Assumptions!C31+C30))+((('Income Statement'!D6*(1+(Assumptions!C29+C29)))*Assumptions!C30)*Assumptions!C32)+((('Income Statement'!D6*(1+(Assumptions!C29+C29)))*Assumptions!C30)*Assumptions!C33)+((('Income Statement'!D6*(1+(Assumptions!C29+C29)))*Assumptions!C30)*Assumptions!C34)+((('Income Statement'!D6*(1+(Assumptions!C29+C29)))*Assumptions!C30)*Assumptions!C35)+((('Income Statement'!D6*(1+(Assumptions!C29+C29)))*Assumptions!C30)*Assumptions!C36)+((('Income Statement'!D6*(1+(Assumptions!C29+C29)))*Assumptions!C30)*Assumptions!C37))-((('Income Statement'!D6*(1+(Assumptions!C29+C29)))*Assumptions!C30)*Assumptions!C38)),0)*Assumptions!C42)+((('Income Statement'!D6*(1+(Assumptions!C29+C29)))*Assumptions!C30)*Assumptions!C38)-((('Income Statement'!D6*(1+(Assumptions!C29+C29)))*Assumptions!C30)*Assumptions!C43)-(Assumptions!C44*((('Income Statement'!D6*(1+(Assumptions!C29+C29)))*Assumptions!C30)-'Income Statement'!D9))-(Assumptions!C48*((('Income Statement'!D6*(1+(Assumptions!C29+C29)))*Assumptions!C46)-'Balance Sheet'!D6)))/(1+C31)^0.5)+((((((('Income Statement'!D6*(1+(Assumptions!C29+C29)))*(1+(Assumptions!D29+C29)))*Assumptions!D30)-(((('Income Statement'!D6*(1+(Assumptions!C29+C29)))*(1+(Assumptions!D29+C29)))*(Assumptions!D31+C30))+(((('Income Statement'!D6*(1+(Assumptions!C29+C29)))*(1+(Assumptions!D29+C29)))*Assumptions!D30)*Assumptions!D32)+(((('Income Statement'!D6*(1+(Assumptions!C29+C29)))*(1+(Assumptions!D29+C29)))*Assumptions!D30)*Assumptions!D33)+(((('Income Statement'!D6*(1+(Assumptions!C29+C29)))*(1+(Assumptions!D29+C29)))*Assumptions!D30)*Assumptions!D34)+(((('Income Statement'!D6*(1+(Assumptions!C29+C29)))*(1+(Assumptions!D29+C29)))*Assumptions!D30)*Assumptions!D35)+(((('Income Statement'!D6*(1+(Assumptions!C29+C29)))*(1+(Assumptions!D29+C29)))*Assumptions!D30)*Assumptions!D36)+(((('Income Statement'!D6*(1+(Assumptions!C29+C29)))*(1+(Assumptions!D29+C29)))*Assumptions!D30)*Assumptions!D37))-(((('Income Statement'!D6*(1+(Assumptions!C29+C29)))*(1+(Assumptions!D29+C29)))*Assumptions!D30)*Assumptions!D38))-MAX((((('Income Statement'!D6*(1+(Assumptions!C29+C29)))*(1+(Assumptions!D29+C29)))*Assumptions!D30)-(((('Income Statement'!D6*(1+(Assumptions!C29+C29)))*(1+(Assumptions!D29+C29)))*(Assumptions!D31+C30))+(((('Income Statement'!D6*(1+(Assumptions!C29+C29)))*(1+(Assumptions!D29+C29)))*Assumptions!D30)*Assumptions!D32)+(((('Income Statement'!D6*(1+(Assumptions!C29+C29)))*(1+(Assumptions!D29+C29)))*Assumptions!D30)*Assumptions!D33)+(((('Income Statement'!D6*(1+(Assumptions!C29+C29)))*(1+(Assumptions!D29+C29)))*Assumptions!D30)*Assumptions!D34)+(((('Income Statement'!D6*(1+(Assumptions!C29+C29)))*(1+(Assumptions!D29+C29)))*Assumptions!D30)*Assumptions!D35)+(((('Income Statement'!D6*(1+(Assumptions!C29+C29)))*(1+(Assumptions!D29+C29)))*Assumptions!D30)*Assumptions!D36)+(((('Income Statement'!D6*(1+(Assumptions!C29+C29)))*(1+(Assumptions!D29+C29)))*Assumptions!D30)*Assumptions!D37))-(((('Income Statement'!D6*(1+(Assumptions!C29+C29)))*(1+(Assumptions!D29+C29)))*Assumptions!D30)*Assumptions!D38)),0)*Assumptions!D42)+(((('Income Statement'!D6*(1+(Assumptions!C29+C29)))*(1+(Assumptions!D29+C29)))*Assumptions!D30)*Assumptions!D38)-(((('Income Statement'!D6*(1+(Assumptions!C29+C29)))*(1+(Assumptions!D29+C29)))*Assumptions!D30)*Assumptions!D43)-(Assumptions!D44*(((('Income Statement'!D6*(1+(Assumptions!C29+C29)))*(1+(Assumptions!D29+C29)))*Assumptions!D30)-(('Income Statement'!D6*(1+(Assumptions!C29+C29)))*Assumptions!C30)))-(Assumptions!D48*(((('Income Statement'!D6*(1+(Assumptions!C29+C29)))*(1+(Assumptions!D29+C29)))*Assumptions!D46)-(('Income Statement'!D6*(1+(Assumptions!C29+C29)))*Assumptions!C46))))/(1+C31)^1.5)+(((((((('Income Statement'!D6*(1+(Assumptions!C29+C29)))*(1+(Assumptions!D29+C29)))*(1+(Assumptions!E29+C29)))*Assumptions!E30)-((((('Income Statement'!D6*(1+(Assumptions!C29+C29)))*(1+(Assumptions!D29+C29)))*(1+(Assumptions!E29+C29)))*(Assumptions!E31+C30))+((((('Income Statement'!D6*(1+(Assumptions!C29+C29)))*(1+(Assumptions!D29+C29)))*(1+(Assumptions!E29+C29)))*Assumptions!E30)*Assumptions!E32)+((((('Income Statement'!D6*(1+(Assumptions!C29+C29)))*(1+(Assumptions!D29+C29)))*(1+(Assumptions!E29+C29)))*Assumptions!E30)*Assumptions!E33)+((((('Income Statement'!D6*(1+(Assumptions!C29+C29)))*(1+(Assumptions!D29+C29)))*(1+(Assumptions!E29+C29)))*Assumptions!E30)*Assumptions!E34)+((((('Income Statement'!D6*(1+(Assumptions!C29+C29)))*(1+(Assumptions!D29+C29)))*(1+(Assumptions!E29+C29)))*Assumptions!E30)*Assumptions!E35)+((((('Income Statement'!D6*(1+(Assumptions!C29+C29)))*(1+(Assumptions!D29+C29)))*(1+(Assumptions!E29+C29)))*Assumptions!E30)*Assumptions!E36)+((((('Income Statement'!D6*(1+(Assumptions!C29+C29)))*(1+(Assumptions!D29+C29)))*(1+(Assumptions!E29+C29)))*Assumptions!E30)*Assumptions!E37))-((((('Income Statement'!D6*(1+(Assumptions!C29+C29)))*(1+(Assumptions!D29+C29)))*(1+(Assumptions!E29+C29)))*Assumptions!E30)*Assumptions!E38))-MAX(((((('Income Statement'!D6*(1+(Assumptions!C29+C29)))*(1+(Assumptions!D29+C29)))*(1+(Assumptions!E29+C29)))*Assumptions!E30)-((((('Income Statement'!D6*(1+(Assumptions!C29+C29)))*(1+(Assumptions!D29+C29)))*(1+(Assumptions!E29+C29)))*(Assumptions!E31+C30))+((((('Income Statement'!D6*(1+(Assumptions!C29+C29)))*(1+(Assumptions!D29+C29)))*(1+(Assumptions!E29+C29)))*Assumptions!E30)*Assumptions!E32)+((((('Income Statement'!D6*(1+(Assumptions!C29+C29)))*(1+(Assumptions!D29+C29)))*(1+(Assumptions!E29+C29)))*Assumptions!E30)*Assumptions!E33)+((((('Income Statement'!D6*(1+(Assumptions!C29+C29)))*(1+(Assumptions!D29+C29)))*(1+(Assumptions!E29+C29)))*Assumptions!E30)*Assumptions!E34)+((((('Income Statement'!D6*(1+(Assumptions!C29+C29)))*(1+(Assumptions!D29+C29)))*(1+(Assumptions!E29+C29)))*Assumptions!E30)*Assumptions!E35)+((((('Income Statement'!D6*(1+(Assumptions!C29+C29)))*(1+(Assumptions!D29+C29)))*(1+(Assumptions!E29+C29)))*Assumptions!E30)*Assumptions!E36)+((((('Income Statement'!D6*(1+(Assumptions!C29+C29)))*(1+(Assumptions!D29+C29)))*(1+(Assumptions!E29+C29)))*Assumptions!E30)*Assumptions!E37))-((((('Income Statement'!D6*(1+(Assumptions!C29+C29)))*(1+(Assumptions!D29+C29)))*(1+(Assumptions!E29+C29)))*Assumptions!E30)*Assumptions!E38)),0)*Assumptions!E42)+((((('Income Statement'!D6*(1+(Assumptions!C29+C29)))*(1+(Assumptions!D29+C29)))*(1+(Assumptions!E29+C29)))*Assumptions!E30)*Assumptions!E38)-((((('Income Statement'!D6*(1+(Assumptions!C29+C29)))*(1+(Assumptions!D29+C29)))*(1+(Assumptions!E29+C29)))*Assumptions!E30)*Assumptions!E43)-(Assumptions!E44*((((('Income Statement'!D6*(1+(Assumptions!C29+C29)))*(1+(Assumptions!D29+C29)))*(1+(Assumptions!E29+C29)))*Assumptions!E30)-((('Income Statement'!D6*(1+(Assumptions!C29+C29)))*(1+(Assumptions!D29+C29)))*Assumptions!D30)))-(Assumptions!E48*((((('Income Statement'!D6*(1+(Assumptions!C29+C29)))*(1+(Assumptions!D29+C29)))*(1+(Assumptions!E29+C29)))*Assumptions!E46)-((('Income Statement'!D6*(1+(Assumptions!C29+C29)))*(1+(Assumptions!D29+C29)))*Assumptions!D46))))/(1+C31)^2.5)+((((((((('Income Statement'!D6*(1+(Assumptions!C29+C29)))*(1+(Assumptions!D29+C29)))*(1+(Assumptions!E29+C29)))*(1+(Assumptions!F29+C29)))*Assumptions!F30)-(((((('Income Statement'!D6*(1+(Assumptions!C29+C29)))*(1+(Assumptions!D29+C29)))*(1+(Assumptions!E29+C29)))*(1+(Assumptions!F29+C29)))*(Assumptions!F31+C30))+(((((('Income Statement'!D6*(1+(Assumptions!C29+C29)))*(1+(Assumptions!D29+C29)))*(1+(Assumptions!E29+C29)))*(1+(Assumptions!F29+C29)))*Assumptions!F30)*Assumptions!F32)+(((((('Income Statement'!D6*(1+(Assumptions!C29+C29)))*(1+(Assumptions!D29+C29)))*(1+(Assumptions!E29+C29)))*(1+(Assumptions!F29+C29)))*Assumptions!F30)*Assumptions!F33)+(((((('Income Statement'!D6*(1+(Assumptions!C29+C29)))*(1+(Assumptions!D29+C29)))*(1+(Assumptions!E29+C29)))*(1+(Assumptions!F29+C29)))*Assumptions!F30)*Assumptions!F34)+(((((('Income Statement'!D6*(1+(Assumptions!C29+C29)))*(1+(Assumptions!D29+C29)))*(1+(Assumptions!E29+C29)))*(1+(Assumptions!F29+C29)))*Assumptions!F30)*Assumptions!F35)+(((((('Income Statement'!D6*(1+(Assumptions!C29+C29)))*(1+(Assumptions!D29+C29)))*(1+(Assumptions!E29+C29)))*(1+(Assumptions!F29+C29)))*Assumptions!F30)*Assumptions!F36)+(((((('Income Statement'!D6*(1+(Assumptions!C29+C29)))*(1+(Assumptions!D29+C29)))*(1+(Assumptions!E29+C29)))*(1+(Assumptions!F29+C29)))*Assumptions!F30)*Assumptions!F37))-(((((('Income Statement'!D6*(1+(Assumptions!C29+C29)))*(1+(Assumptions!D29+C29)))*(1+(Assumptions!E29+C29)))*(1+(Assumptions!F29+C29)))*Assumptions!F30)*Assumptions!F38))-MAX((((((('Income Statement'!D6*(1+(Assumptions!C29+C29)))*(1+(Assumptions!D29+C29)))*(1+(Assumptions!E29+C29)))*(1+(Assumptions!F29+C29)))*Assumptions!F30)-(((((('Income Statement'!D6*(1+(Assumptions!C29+C29)))*(1+(Assumptions!D29+C29)))*(1+(Assumptions!E29+C29)))*(1+(Assumptions!F29+C29)))*(Assumptions!F31+C30))+(((((('Income Statement'!D6*(1+(Assumptions!C29+C29)))*(1+(Assumptions!D29+C29)))*(1+(Assumptions!E29+C29)))*(1+(Assumptions!F29+C29)))*Assumptions!F30)*Assumptions!F32)+(((((('Income Statement'!D6*(1+(Assumptions!C29+C29)))*(1+(Assumptions!D29+C29)))*(1+(Assumptions!E29+C29)))*(1+(Assumptions!F29+C29)))*Assumptions!F30)*Assumptions!F33)+(((((('Income Statement'!D6*(1+(Assumptions!C29+C29)))*(1+(Assumptions!D29+C29)))*(1+(Assumptions!E29+C29)))*(1+(Assumptions!F29+C29)))*Assumptions!F30)*Assumptions!F34)+(((((('Income Statement'!D6*(1+(Assumptions!C29+C29)))*(1+(Assumptions!D29+C29)))*(1+(Assumptions!E29+C29)))*(1+(Assumptions!F29+C29)))*Assumptions!F30)*Assumptions!F35)+(((((('Income Statement'!D6*(1+(Assumptions!C29+C29)))*(1+(Assumptions!D29+C29)))*(1+(Assumptions!E29+C29)))*(1+(Assumptions!F29+C29)))*Assumptions!F30)*Assumptions!F36)+(((((('Income Statement'!D6*(1+(Assumptions!C29+C29)))*(1+(Assumptions!D29+C29)))*(1+(Assumptions!E29+C29)))*(1+(Assumptions!F29+C29)))*Assumptions!F30)*Assumptions!F37))-(((((('Income Statement'!D6*(1+(Assumptions!C29+C29)))*(1+(Assumptions!D29+C29)))*(1+(Assumptions!E29+C29)))*(1+(Assumptions!F29+C29)))*Assumptions!F30)*Assumptions!F38)),0)*Assumptions!F42)+(((((('Income Statement'!D6*(1+(Assumptions!C29+C29)))*(1+(Assumptions!D29+C29)))*(1+(Assumptions!E29+C29)))*(1+(Assumptions!F29+C29)))*Assumptions!F30)*Assumptions!F38)-(((((('Income Statement'!D6*(1+(Assumptions!C29+C29)))*(1+(Assumptions!D29+C29)))*(1+(Assumptions!E29+C29)))*(1+(Assumptions!F29+C29)))*Assumptions!F30)*Assumptions!F43)-(Assumptions!F44*(((((('Income Statement'!D6*(1+(Assumptions!C29+C29)))*(1+(Assumptions!D29+C29)))*(1+(Assumptions!E29+C29)))*(1+(Assumptions!F29+C29)))*Assumptions!F30)-(((('Income Statement'!D6*(1+(Assumptions!C29+C29)))*(1+(Assumptions!D29+C29)))*(1+(Assumptions!E29+C29)))*Assumptions!E30)))-(Assumptions!F48*(((((('Income Statement'!D6*(1+(Assumptions!C29+C29)))*(1+(Assumptions!D29+C29)))*(1+(Assumptions!E29+C29)))*(1+(Assumptions!F29+C29)))*Assumptions!F46)-(((('Income Statement'!D6*(1+(Assumptions!C29+C29)))*(1+(Assumptions!D29+C29)))*(1+(Assumptions!E29+C29)))*Assumptions!E46))))/(1+C31)^3.5)+(((((((((('Income Statement'!D6*(1+(Assumptions!C29+C29)))*(1+(Assumptions!D29+C29)))*(1+(Assumptions!E29+C29)))*(1+(Assumptions!F29+C29)))*(1+(Assumptions!G29+C29)))*Assumptions!G30)-((((((('Income Statement'!D6*(1+(Assumptions!C29+C29)))*(1+(Assumptions!D29+C29)))*(1+(Assumptions!E29+C29)))*(1+(Assumptions!F29+C29)))*(1+(Assumptions!G29+C29)))*(Assumptions!G31+C30))+((((((('Income Statement'!D6*(1+(Assumptions!C29+C29)))*(1+(Assumptions!D29+C29)))*(1+(Assumptions!E29+C29)))*(1+(Assumptions!F29+C29)))*(1+(Assumptions!G29+C29)))*Assumptions!G30)*Assumptions!G32)+((((((('Income Statement'!D6*(1+(Assumptions!C29+C29)))*(1+(Assumptions!D29+C29)))*(1+(Assumptions!E29+C29)))*(1+(Assumptions!F29+C29)))*(1+(Assumptions!G29+C29)))*Assumptions!G30)*Assumptions!G33)+((((((('Income Statement'!D6*(1+(Assumptions!C29+C29)))*(1+(Assumptions!D29+C29)))*(1+(Assumptions!E29+C29)))*(1+(Assumptions!F29+C29)))*(1+(Assumptions!G29+C29)))*Assumptions!G30)*Assumptions!G34)+((((((('Income Statement'!D6*(1+(Assumptions!C29+C29)))*(1+(Assumptions!D29+C29)))*(1+(Assumptions!E29+C29)))*(1+(Assumptions!F29+C29)))*(1+(Assumptions!G29+C29)))*Assumptions!G30)*Assumptions!G35)+((((((('Income Statement'!D6*(1+(Assumptions!C29+C29)))*(1+(Assumptions!D29+C29)))*(1+(Assumptions!E29+C29)))*(1+(Assumptions!F29+C29)))*(1+(Assumptions!G29+C29)))*Assumptions!G30)*Assumptions!G36)+((((((('Income Statement'!D6*(1+(Assumptions!C29+C29)))*(1+(Assumptions!D29+C29)))*(1+(Assumptions!E29+C29)))*(1+(Assumptions!F29+C29)))*(1+(Assumptions!G29+C29)))*Assumptions!G30)*Assumptions!G37))-((((((('Income Statement'!D6*(1+(Assumptions!C29+C29)))*(1+(Assumptions!D29+C29)))*(1+(Assumptions!E29+C29)))*(1+(Assumptions!F29+C29)))*(1+(Assumptions!G29+C29)))*Assumptions!G30)*Assumptions!G38))-MAX(((((((('Income Statement'!D6*(1+(Assumptions!C29+C29)))*(1+(Assumptions!D29+C29)))*(1+(Assumptions!E29+C29)))*(1+(Assumptions!F29+C29)))*(1+(Assumptions!G29+C29)))*Assumptions!G30)-((((((('Income Statement'!D6*(1+(Assumptions!C29+C29)))*(1+(Assumptions!D29+C29)))*(1+(Assumptions!E29+C29)))*(1+(Assumptions!F29+C29)))*(1+(Assumptions!G29+C29)))*(Assumptions!G31+C30))+((((((('Income Statement'!D6*(1+(Assumptions!C29+C29)))*(1+(Assumptions!D29+C29)))*(1+(Assumptions!E29+C29)))*(1+(Assumptions!F29+C29)))*(1+(Assumptions!G29+C29)))*Assumptions!G30)*Assumptions!G32)+((((((('Income Statement'!D6*(1+(Assumptions!C29+C29)))*(1+(Assumptions!D29+C29)))*(1+(Assumptions!E29+C29)))*(1+(Assumptions!F29+C29)))*(1+(Assumptions!G29+C29)))*Assumptions!G30)*Assumptions!G33)+((((((('Income Statement'!D6*(1+(Assumptions!C29+C29)))*(1+(Assumptions!D29+C29)))*(1+(Assumptions!E29+C29)))*(1+(Assumptions!F29+C29)))*(1+(Assumptions!G29+C29)))*Assumptions!G30)*Assumptions!G34)+((((((('Income Statement'!D6*(1+(Assumptions!C29+C29)))*(1+(Assumptions!D29+C29)))*(1+(Assumptions!E29+C29)))*(1+(Assumptions!F29+C29)))*(1+(Assumptions!G29+C29)))*Assumptions!G30)*Assumptions!G35)+((((((('Income Statement'!D6*(1+(Assumptions!C29+C29)))*(1+(Assumptions!D29+C29)))*(1+(Assumptions!E29+C29)))*(1+(Assumptions!F29+C29)))*(1+(Assumptions!G29+C29)))*Assumptions!G30)*Assumptions!G36)+((((((('Income Statement'!D6*(1+(Assumptions!C29+C29)))*(1+(Assumptions!D29+C29)))*(1+(Assumptions!E29+C29)))*(1+(Assumptions!F29+C29)))*(1+(Assumptions!G29+C29)))*Assumptions!G30)*Assumptions!G37))-((((((('Income Statement'!D6*(1+(Assumptions!C29+C29)))*(1+(Assumptions!D29+C29)))*(1+(Assumptions!E29+C29)))*(1+(Assumptions!F29+C29)))*(1+(Assumptions!G29+C29)))*Assumptions!G30)*Assumptions!G38)),0)*Assumptions!G42)+((((((('Income Statement'!D6*(1+(Assumptions!C29+C29)))*(1+(Assumptions!D29+C29)))*(1+(Assumptions!E29+C29)))*(1+(Assumptions!F29+C29)))*(1+(Assumptions!G29+C29)))*Assumptions!G30)*Assumptions!G38)-((((((('Income Statement'!D6*(1+(Assumptions!C29+C29)))*(1+(Assumptions!D29+C29)))*(1+(Assumptions!E29+C29)))*(1+(Assumptions!F29+C29)))*(1+(Assumptions!G29+C29)))*Assumptions!G30)*Assumptions!G43)-(Assumptions!G44*((((((('Income Statement'!D6*(1+(Assumptions!C29+C29)))*(1+(Assumptions!D29+C29)))*(1+(Assumptions!E29+C29)))*(1+(Assumptions!F29+C29)))*(1+(Assumptions!G29+C29)))*Assumptions!G30)-((((('Income Statement'!D6*(1+(Assumptions!C29+C29)))*(1+(Assumptions!D29+C29)))*(1+(Assumptions!E29+C29)))*(1+(Assumptions!F29+C29)))*Assumptions!F30)))-(Assumptions!G48*((((((('Income Statement'!D6*(1+(Assumptions!C29+C29)))*(1+(Assumptions!D29+C29)))*(1+(Assumptions!E29+C29)))*(1+(Assumptions!F29+C29)))*(1+(Assumptions!G29+C29)))*Assumptions!G46)-((((('Income Statement'!D6*(1+(Assumptions!C29+C29)))*(1+(Assumptions!D29+C29)))*(1+(Assumptions!E29+C29)))*(1+(Assumptions!F29+C29)))*Assumptions!F46))))/(1+C31)^4.5))+((((((((((('Income Statement'!D6*(1+(Assumptions!C29+C29)))*(1+(Assumptions!D29+C29)))*(1+(Assumptions!E29+C29)))*(1+(Assumptions!F29+C29)))*(1+(Assumptions!G29+C29)))*Assumptions!G30)-((((((('Income Statement'!D6*(1+(Assumptions!C29+C29)))*(1+(Assumptions!D29+C29)))*(1+(Assumptions!E29+C29)))*(1+(Assumptions!F29+C29)))*(1+(Assumptions!G29+C29)))*(Assumptions!G31+C30))+((((((('Income Statement'!D6*(1+(Assumptions!C29+C29)))*(1+(Assumptions!D29+C29)))*(1+(Assumptions!E29+C29)))*(1+(Assumptions!F29+C29)))*(1+(Assumptions!G29+C29)))*Assumptions!G30)*Assumptions!G32)+((((((('Income Statement'!D6*(1+(Assumptions!C29+C29)))*(1+(Assumptions!D29+C29)))*(1+(Assumptions!E29+C29)))*(1+(Assumptions!F29+C29)))*(1+(Assumptions!G29+C29)))*Assumptions!G30)*Assumptions!G33)+((((((('Income Statement'!D6*(1+(Assumptions!C29+C29)))*(1+(Assumptions!D29+C29)))*(1+(Assumptions!E29+C29)))*(1+(Assumptions!F29+C29)))*(1+(Assumptions!G29+C29)))*Assumptions!G30)*Assumptions!G34)+((((((('Income Statement'!D6*(1+(Assumptions!C29+C29)))*(1+(Assumptions!D29+C29)))*(1+(Assumptions!E29+C29)))*(1+(Assumptions!F29+C29)))*(1+(Assumptions!G29+C29)))*Assumptions!G30)*Assumptions!G35)+((((((('Income Statement'!D6*(1+(Assumptions!C29+C29)))*(1+(Assumptions!D29+C29)))*(1+(Assumptions!E29+C29)))*(1+(Assumptions!F29+C29)))*(1+(Assumptions!G29+C29)))*Assumptions!G30)*Assumptions!G36)+((((((('Income Statement'!D6*(1+(Assumptions!C29+C29)))*(1+(Assumptions!D29+C29)))*(1+(Assumptions!E29+C29)))*(1+(Assumptions!F29+C29)))*(1+(Assumptions!G29+C29)))*Assumptions!G30)*Assumptions!G37))-((((((('Income Statement'!D6*(1+(Assumptions!C29+C29)))*(1+(Assumptions!D29+C29)))*(1+(Assumptions!E29+C29)))*(1+(Assumptions!F29+C29)))*(1+(Assumptions!G29+C29)))*Assumptions!G30)*Assumptions!G38))-MAX(((((((('Income Statement'!D6*(1+(Assumptions!C29+C29)))*(1+(Assumptions!D29+C29)))*(1+(Assumptions!E29+C29)))*(1+(Assumptions!F29+C29)))*(1+(Assumptions!G29+C29)))*Assumptions!G30)-((((((('Income Statement'!D6*(1+(Assumptions!C29+C29)))*(1+(Assumptions!D29+C29)))*(1+(Assumptions!E29+C29)))*(1+(Assumptions!F29+C29)))*(1+(Assumptions!G29+C29)))*(Assumptions!G31+C30))+((((((('Income Statement'!D6*(1+(Assumptions!C29+C29)))*(1+(Assumptions!D29+C29)))*(1+(Assumptions!E29+C29)))*(1+(Assumptions!F29+C29)))*(1+(Assumptions!G29+C29)))*Assumptions!G30)*Assumptions!G32)+((((((('Income Statement'!D6*(1+(Assumptions!C29+C29)))*(1+(Assumptions!D29+C29)))*(1+(Assumptions!E29+C29)))*(1+(Assumptions!F29+C29)))*(1+(Assumptions!G29+C29)))*Assumptions!G30)*Assumptions!G33)+((((((('Income Statement'!D6*(1+(Assumptions!C29+C29)))*(1+(Assumptions!D29+C29)))*(1+(Assumptions!E29+C29)))*(1+(Assumptions!F29+C29)))*(1+(Assumptions!G29+C29)))*Assumptions!G30)*Assumptions!G34)+((((((('Income Statement'!D6*(1+(Assumptions!C29+C29)))*(1+(Assumptions!D29+C29)))*(1+(Assumptions!E29+C29)))*(1+(Assumptions!F29+C29)))*(1+(Assumptions!G29+C29)))*Assumptions!G30)*Assumptions!G35)+((((((('Income Statement'!D6*(1+(Assumptions!C29+C29)))*(1+(Assumptions!D29+C29)))*(1+(Assumptions!E29+C29)))*(1+(Assumptions!F29+C29)))*(1+(Assumptions!G29+C29)))*Assumptions!G30)*Assumptions!G36)+((((((('Income Statement'!D6*(1+(Assumptions!C29+C29)))*(1+(Assumptions!D29+C29)))*(1+(Assumptions!E29+C29)))*(1+(Assumptions!F29+C29)))*(1+(Assumptions!G29+C29)))*Assumptions!G30)*Assumptions!G37))-((((((('Income Statement'!D6*(1+(Assumptions!C29+C29)))*(1+(Assumptions!D29+C29)))*(1+(Assumptions!E29+C29)))*(1+(Assumptions!F29+C29)))*(1+(Assumptions!G29+C29)))*Assumptions!G30)*Assumptions!G38)),0)*Assumptions!G42)+((((((('Income Statement'!D6*(1+(Assumptions!C29+C29)))*(1+(Assumptions!D29+C29)))*(1+(Assumptions!E29+C29)))*(1+(Assumptions!F29+C29)))*(1+(Assumptions!G29+C29)))*Assumptions!G30)*Assumptions!G38)-((((((('Income Statement'!D6*(1+(Assumptions!C29+C29)))*(1+(Assumptions!D29+C29)))*(1+(Assumptions!E29+C29)))*(1+(Assumptions!F29+C29)))*(1+(Assumptions!G29+C29)))*Assumptions!G30)*Assumptions!G43)-(Assumptions!G44*((((((('Income Statement'!D6*(1+(Assumptions!C29+C29)))*(1+(Assumptions!D29+C29)))*(1+(Assumptions!E29+C29)))*(1+(Assumptions!F29+C29)))*(1+(Assumptions!G29+C29)))*Assumptions!G30)-((((('Income Statement'!D6*(1+(Assumptions!C29+C29)))*(1+(Assumptions!D29+C29)))*(1+(Assumptions!E29+C29)))*(1+(Assumptions!F29+C29)))*Assumptions!F30)))-(Assumptions!G48*((((((('Income Statement'!D6*(1+(Assumptions!C29+C29)))*(1+(Assumptions!D29+C29)))*(1+(Assumptions!E29+C29)))*(1+(Assumptions!F29+C29)))*(1+(Assumptions!G29+C29)))*Assumptions!G46)-((((('Income Statement'!D6*(1+(Assumptions!C29+C29)))*(1+(Assumptions!D29+C29)))*(1+(Assumptions!E29+C29)))*(1+(Assumptions!F29+C29)))*Assumptions!F46))))*(1+Assumptions!$C$61)/(C31-Assumptions!$C$61))/(1+C31)^5))-Assumptions!$C$25)/Assumptions!$C$21</f>
        <v>23.1023197586095</v>
      </c>
      <c r="D33" s="58" t="n">
        <f aca="false">((((((((('Income Statement'!D6*(1+(Assumptions!C29+D29)))*Assumptions!C30)-((('Income Statement'!D6*(1+(Assumptions!C29+D29)))*(Assumptions!C31+D30))+((('Income Statement'!D6*(1+(Assumptions!C29+D29)))*Assumptions!C30)*Assumptions!C32)+((('Income Statement'!D6*(1+(Assumptions!C29+D29)))*Assumptions!C30)*Assumptions!C33)+((('Income Statement'!D6*(1+(Assumptions!C29+D29)))*Assumptions!C30)*Assumptions!C34)+((('Income Statement'!D6*(1+(Assumptions!C29+D29)))*Assumptions!C30)*Assumptions!C35)+((('Income Statement'!D6*(1+(Assumptions!C29+D29)))*Assumptions!C30)*Assumptions!C36)+((('Income Statement'!D6*(1+(Assumptions!C29+D29)))*Assumptions!C30)*Assumptions!C37))-((('Income Statement'!D6*(1+(Assumptions!C29+D29)))*Assumptions!C30)*Assumptions!C38))-MAX(((('Income Statement'!D6*(1+(Assumptions!C29+D29)))*Assumptions!C30)-((('Income Statement'!D6*(1+(Assumptions!C29+D29)))*(Assumptions!C31+D30))+((('Income Statement'!D6*(1+(Assumptions!C29+D29)))*Assumptions!C30)*Assumptions!C32)+((('Income Statement'!D6*(1+(Assumptions!C29+D29)))*Assumptions!C30)*Assumptions!C33)+((('Income Statement'!D6*(1+(Assumptions!C29+D29)))*Assumptions!C30)*Assumptions!C34)+((('Income Statement'!D6*(1+(Assumptions!C29+D29)))*Assumptions!C30)*Assumptions!C35)+((('Income Statement'!D6*(1+(Assumptions!C29+D29)))*Assumptions!C30)*Assumptions!C36)+((('Income Statement'!D6*(1+(Assumptions!C29+D29)))*Assumptions!C30)*Assumptions!C37))-((('Income Statement'!D6*(1+(Assumptions!C29+D29)))*Assumptions!C30)*Assumptions!C38)),0)*Assumptions!C42)+((('Income Statement'!D6*(1+(Assumptions!C29+D29)))*Assumptions!C30)*Assumptions!C38)-((('Income Statement'!D6*(1+(Assumptions!C29+D29)))*Assumptions!C30)*Assumptions!C43)-(Assumptions!C44*((('Income Statement'!D6*(1+(Assumptions!C29+D29)))*Assumptions!C30)-'Income Statement'!D9))-(Assumptions!C48*((('Income Statement'!D6*(1+(Assumptions!C29+D29)))*Assumptions!C46)-'Balance Sheet'!D6)))/(1+D31)^0.5)+((((((('Income Statement'!D6*(1+(Assumptions!C29+D29)))*(1+(Assumptions!D29+D29)))*Assumptions!D30)-(((('Income Statement'!D6*(1+(Assumptions!C29+D29)))*(1+(Assumptions!D29+D29)))*(Assumptions!D31+D30))+(((('Income Statement'!D6*(1+(Assumptions!C29+D29)))*(1+(Assumptions!D29+D29)))*Assumptions!D30)*Assumptions!D32)+(((('Income Statement'!D6*(1+(Assumptions!C29+D29)))*(1+(Assumptions!D29+D29)))*Assumptions!D30)*Assumptions!D33)+(((('Income Statement'!D6*(1+(Assumptions!C29+D29)))*(1+(Assumptions!D29+D29)))*Assumptions!D30)*Assumptions!D34)+(((('Income Statement'!D6*(1+(Assumptions!C29+D29)))*(1+(Assumptions!D29+D29)))*Assumptions!D30)*Assumptions!D35)+(((('Income Statement'!D6*(1+(Assumptions!C29+D29)))*(1+(Assumptions!D29+D29)))*Assumptions!D30)*Assumptions!D36)+(((('Income Statement'!D6*(1+(Assumptions!C29+D29)))*(1+(Assumptions!D29+D29)))*Assumptions!D30)*Assumptions!D37))-(((('Income Statement'!D6*(1+(Assumptions!C29+D29)))*(1+(Assumptions!D29+D29)))*Assumptions!D30)*Assumptions!D38))-MAX((((('Income Statement'!D6*(1+(Assumptions!C29+D29)))*(1+(Assumptions!D29+D29)))*Assumptions!D30)-(((('Income Statement'!D6*(1+(Assumptions!C29+D29)))*(1+(Assumptions!D29+D29)))*(Assumptions!D31+D30))+(((('Income Statement'!D6*(1+(Assumptions!C29+D29)))*(1+(Assumptions!D29+D29)))*Assumptions!D30)*Assumptions!D32)+(((('Income Statement'!D6*(1+(Assumptions!C29+D29)))*(1+(Assumptions!D29+D29)))*Assumptions!D30)*Assumptions!D33)+(((('Income Statement'!D6*(1+(Assumptions!C29+D29)))*(1+(Assumptions!D29+D29)))*Assumptions!D30)*Assumptions!D34)+(((('Income Statement'!D6*(1+(Assumptions!C29+D29)))*(1+(Assumptions!D29+D29)))*Assumptions!D30)*Assumptions!D35)+(((('Income Statement'!D6*(1+(Assumptions!C29+D29)))*(1+(Assumptions!D29+D29)))*Assumptions!D30)*Assumptions!D36)+(((('Income Statement'!D6*(1+(Assumptions!C29+D29)))*(1+(Assumptions!D29+D29)))*Assumptions!D30)*Assumptions!D37))-(((('Income Statement'!D6*(1+(Assumptions!C29+D29)))*(1+(Assumptions!D29+D29)))*Assumptions!D30)*Assumptions!D38)),0)*Assumptions!D42)+(((('Income Statement'!D6*(1+(Assumptions!C29+D29)))*(1+(Assumptions!D29+D29)))*Assumptions!D30)*Assumptions!D38)-(((('Income Statement'!D6*(1+(Assumptions!C29+D29)))*(1+(Assumptions!D29+D29)))*Assumptions!D30)*Assumptions!D43)-(Assumptions!D44*(((('Income Statement'!D6*(1+(Assumptions!C29+D29)))*(1+(Assumptions!D29+D29)))*Assumptions!D30)-(('Income Statement'!D6*(1+(Assumptions!C29+D29)))*Assumptions!C30)))-(Assumptions!D48*(((('Income Statement'!D6*(1+(Assumptions!C29+D29)))*(1+(Assumptions!D29+D29)))*Assumptions!D46)-(('Income Statement'!D6*(1+(Assumptions!C29+D29)))*Assumptions!C46))))/(1+D31)^1.5)+(((((((('Income Statement'!D6*(1+(Assumptions!C29+D29)))*(1+(Assumptions!D29+D29)))*(1+(Assumptions!E29+D29)))*Assumptions!E30)-((((('Income Statement'!D6*(1+(Assumptions!C29+D29)))*(1+(Assumptions!D29+D29)))*(1+(Assumptions!E29+D29)))*(Assumptions!E31+D30))+((((('Income Statement'!D6*(1+(Assumptions!C29+D29)))*(1+(Assumptions!D29+D29)))*(1+(Assumptions!E29+D29)))*Assumptions!E30)*Assumptions!E32)+((((('Income Statement'!D6*(1+(Assumptions!C29+D29)))*(1+(Assumptions!D29+D29)))*(1+(Assumptions!E29+D29)))*Assumptions!E30)*Assumptions!E33)+((((('Income Statement'!D6*(1+(Assumptions!C29+D29)))*(1+(Assumptions!D29+D29)))*(1+(Assumptions!E29+D29)))*Assumptions!E30)*Assumptions!E34)+((((('Income Statement'!D6*(1+(Assumptions!C29+D29)))*(1+(Assumptions!D29+D29)))*(1+(Assumptions!E29+D29)))*Assumptions!E30)*Assumptions!E35)+((((('Income Statement'!D6*(1+(Assumptions!C29+D29)))*(1+(Assumptions!D29+D29)))*(1+(Assumptions!E29+D29)))*Assumptions!E30)*Assumptions!E36)+((((('Income Statement'!D6*(1+(Assumptions!C29+D29)))*(1+(Assumptions!D29+D29)))*(1+(Assumptions!E29+D29)))*Assumptions!E30)*Assumptions!E37))-((((('Income Statement'!D6*(1+(Assumptions!C29+D29)))*(1+(Assumptions!D29+D29)))*(1+(Assumptions!E29+D29)))*Assumptions!E30)*Assumptions!E38))-MAX(((((('Income Statement'!D6*(1+(Assumptions!C29+D29)))*(1+(Assumptions!D29+D29)))*(1+(Assumptions!E29+D29)))*Assumptions!E30)-((((('Income Statement'!D6*(1+(Assumptions!C29+D29)))*(1+(Assumptions!D29+D29)))*(1+(Assumptions!E29+D29)))*(Assumptions!E31+D30))+((((('Income Statement'!D6*(1+(Assumptions!C29+D29)))*(1+(Assumptions!D29+D29)))*(1+(Assumptions!E29+D29)))*Assumptions!E30)*Assumptions!E32)+((((('Income Statement'!D6*(1+(Assumptions!C29+D29)))*(1+(Assumptions!D29+D29)))*(1+(Assumptions!E29+D29)))*Assumptions!E30)*Assumptions!E33)+((((('Income Statement'!D6*(1+(Assumptions!C29+D29)))*(1+(Assumptions!D29+D29)))*(1+(Assumptions!E29+D29)))*Assumptions!E30)*Assumptions!E34)+((((('Income Statement'!D6*(1+(Assumptions!C29+D29)))*(1+(Assumptions!D29+D29)))*(1+(Assumptions!E29+D29)))*Assumptions!E30)*Assumptions!E35)+((((('Income Statement'!D6*(1+(Assumptions!C29+D29)))*(1+(Assumptions!D29+D29)))*(1+(Assumptions!E29+D29)))*Assumptions!E30)*Assumptions!E36)+((((('Income Statement'!D6*(1+(Assumptions!C29+D29)))*(1+(Assumptions!D29+D29)))*(1+(Assumptions!E29+D29)))*Assumptions!E30)*Assumptions!E37))-((((('Income Statement'!D6*(1+(Assumptions!C29+D29)))*(1+(Assumptions!D29+D29)))*(1+(Assumptions!E29+D29)))*Assumptions!E30)*Assumptions!E38)),0)*Assumptions!E42)+((((('Income Statement'!D6*(1+(Assumptions!C29+D29)))*(1+(Assumptions!D29+D29)))*(1+(Assumptions!E29+D29)))*Assumptions!E30)*Assumptions!E38)-((((('Income Statement'!D6*(1+(Assumptions!C29+D29)))*(1+(Assumptions!D29+D29)))*(1+(Assumptions!E29+D29)))*Assumptions!E30)*Assumptions!E43)-(Assumptions!E44*((((('Income Statement'!D6*(1+(Assumptions!C29+D29)))*(1+(Assumptions!D29+D29)))*(1+(Assumptions!E29+D29)))*Assumptions!E30)-((('Income Statement'!D6*(1+(Assumptions!C29+D29)))*(1+(Assumptions!D29+D29)))*Assumptions!D30)))-(Assumptions!E48*((((('Income Statement'!D6*(1+(Assumptions!C29+D29)))*(1+(Assumptions!D29+D29)))*(1+(Assumptions!E29+D29)))*Assumptions!E46)-((('Income Statement'!D6*(1+(Assumptions!C29+D29)))*(1+(Assumptions!D29+D29)))*Assumptions!D46))))/(1+D31)^2.5)+((((((((('Income Statement'!D6*(1+(Assumptions!C29+D29)))*(1+(Assumptions!D29+D29)))*(1+(Assumptions!E29+D29)))*(1+(Assumptions!F29+D29)))*Assumptions!F30)-(((((('Income Statement'!D6*(1+(Assumptions!C29+D29)))*(1+(Assumptions!D29+D29)))*(1+(Assumptions!E29+D29)))*(1+(Assumptions!F29+D29)))*(Assumptions!F31+D30))+(((((('Income Statement'!D6*(1+(Assumptions!C29+D29)))*(1+(Assumptions!D29+D29)))*(1+(Assumptions!E29+D29)))*(1+(Assumptions!F29+D29)))*Assumptions!F30)*Assumptions!F32)+(((((('Income Statement'!D6*(1+(Assumptions!C29+D29)))*(1+(Assumptions!D29+D29)))*(1+(Assumptions!E29+D29)))*(1+(Assumptions!F29+D29)))*Assumptions!F30)*Assumptions!F33)+(((((('Income Statement'!D6*(1+(Assumptions!C29+D29)))*(1+(Assumptions!D29+D29)))*(1+(Assumptions!E29+D29)))*(1+(Assumptions!F29+D29)))*Assumptions!F30)*Assumptions!F34)+(((((('Income Statement'!D6*(1+(Assumptions!C29+D29)))*(1+(Assumptions!D29+D29)))*(1+(Assumptions!E29+D29)))*(1+(Assumptions!F29+D29)))*Assumptions!F30)*Assumptions!F35)+(((((('Income Statement'!D6*(1+(Assumptions!C29+D29)))*(1+(Assumptions!D29+D29)))*(1+(Assumptions!E29+D29)))*(1+(Assumptions!F29+D29)))*Assumptions!F30)*Assumptions!F36)+(((((('Income Statement'!D6*(1+(Assumptions!C29+D29)))*(1+(Assumptions!D29+D29)))*(1+(Assumptions!E29+D29)))*(1+(Assumptions!F29+D29)))*Assumptions!F30)*Assumptions!F37))-(((((('Income Statement'!D6*(1+(Assumptions!C29+D29)))*(1+(Assumptions!D29+D29)))*(1+(Assumptions!E29+D29)))*(1+(Assumptions!F29+D29)))*Assumptions!F30)*Assumptions!F38))-MAX((((((('Income Statement'!D6*(1+(Assumptions!C29+D29)))*(1+(Assumptions!D29+D29)))*(1+(Assumptions!E29+D29)))*(1+(Assumptions!F29+D29)))*Assumptions!F30)-(((((('Income Statement'!D6*(1+(Assumptions!C29+D29)))*(1+(Assumptions!D29+D29)))*(1+(Assumptions!E29+D29)))*(1+(Assumptions!F29+D29)))*(Assumptions!F31+D30))+(((((('Income Statement'!D6*(1+(Assumptions!C29+D29)))*(1+(Assumptions!D29+D29)))*(1+(Assumptions!E29+D29)))*(1+(Assumptions!F29+D29)))*Assumptions!F30)*Assumptions!F32)+(((((('Income Statement'!D6*(1+(Assumptions!C29+D29)))*(1+(Assumptions!D29+D29)))*(1+(Assumptions!E29+D29)))*(1+(Assumptions!F29+D29)))*Assumptions!F30)*Assumptions!F33)+(((((('Income Statement'!D6*(1+(Assumptions!C29+D29)))*(1+(Assumptions!D29+D29)))*(1+(Assumptions!E29+D29)))*(1+(Assumptions!F29+D29)))*Assumptions!F30)*Assumptions!F34)+(((((('Income Statement'!D6*(1+(Assumptions!C29+D29)))*(1+(Assumptions!D29+D29)))*(1+(Assumptions!E29+D29)))*(1+(Assumptions!F29+D29)))*Assumptions!F30)*Assumptions!F35)+(((((('Income Statement'!D6*(1+(Assumptions!C29+D29)))*(1+(Assumptions!D29+D29)))*(1+(Assumptions!E29+D29)))*(1+(Assumptions!F29+D29)))*Assumptions!F30)*Assumptions!F36)+(((((('Income Statement'!D6*(1+(Assumptions!C29+D29)))*(1+(Assumptions!D29+D29)))*(1+(Assumptions!E29+D29)))*(1+(Assumptions!F29+D29)))*Assumptions!F30)*Assumptions!F37))-(((((('Income Statement'!D6*(1+(Assumptions!C29+D29)))*(1+(Assumptions!D29+D29)))*(1+(Assumptions!E29+D29)))*(1+(Assumptions!F29+D29)))*Assumptions!F30)*Assumptions!F38)),0)*Assumptions!F42)+(((((('Income Statement'!D6*(1+(Assumptions!C29+D29)))*(1+(Assumptions!D29+D29)))*(1+(Assumptions!E29+D29)))*(1+(Assumptions!F29+D29)))*Assumptions!F30)*Assumptions!F38)-(((((('Income Statement'!D6*(1+(Assumptions!C29+D29)))*(1+(Assumptions!D29+D29)))*(1+(Assumptions!E29+D29)))*(1+(Assumptions!F29+D29)))*Assumptions!F30)*Assumptions!F43)-(Assumptions!F44*(((((('Income Statement'!D6*(1+(Assumptions!C29+D29)))*(1+(Assumptions!D29+D29)))*(1+(Assumptions!E29+D29)))*(1+(Assumptions!F29+D29)))*Assumptions!F30)-(((('Income Statement'!D6*(1+(Assumptions!C29+D29)))*(1+(Assumptions!D29+D29)))*(1+(Assumptions!E29+D29)))*Assumptions!E30)))-(Assumptions!F48*(((((('Income Statement'!D6*(1+(Assumptions!C29+D29)))*(1+(Assumptions!D29+D29)))*(1+(Assumptions!E29+D29)))*(1+(Assumptions!F29+D29)))*Assumptions!F46)-(((('Income Statement'!D6*(1+(Assumptions!C29+D29)))*(1+(Assumptions!D29+D29)))*(1+(Assumptions!E29+D29)))*Assumptions!E46))))/(1+D31)^3.5)+(((((((((('Income Statement'!D6*(1+(Assumptions!C29+D29)))*(1+(Assumptions!D29+D29)))*(1+(Assumptions!E29+D29)))*(1+(Assumptions!F29+D29)))*(1+(Assumptions!G29+D29)))*Assumptions!G30)-((((((('Income Statement'!D6*(1+(Assumptions!C29+D29)))*(1+(Assumptions!D29+D29)))*(1+(Assumptions!E29+D29)))*(1+(Assumptions!F29+D29)))*(1+(Assumptions!G29+D29)))*(Assumptions!G31+D30))+((((((('Income Statement'!D6*(1+(Assumptions!C29+D29)))*(1+(Assumptions!D29+D29)))*(1+(Assumptions!E29+D29)))*(1+(Assumptions!F29+D29)))*(1+(Assumptions!G29+D29)))*Assumptions!G30)*Assumptions!G32)+((((((('Income Statement'!D6*(1+(Assumptions!C29+D29)))*(1+(Assumptions!D29+D29)))*(1+(Assumptions!E29+D29)))*(1+(Assumptions!F29+D29)))*(1+(Assumptions!G29+D29)))*Assumptions!G30)*Assumptions!G33)+((((((('Income Statement'!D6*(1+(Assumptions!C29+D29)))*(1+(Assumptions!D29+D29)))*(1+(Assumptions!E29+D29)))*(1+(Assumptions!F29+D29)))*(1+(Assumptions!G29+D29)))*Assumptions!G30)*Assumptions!G34)+((((((('Income Statement'!D6*(1+(Assumptions!C29+D29)))*(1+(Assumptions!D29+D29)))*(1+(Assumptions!E29+D29)))*(1+(Assumptions!F29+D29)))*(1+(Assumptions!G29+D29)))*Assumptions!G30)*Assumptions!G35)+((((((('Income Statement'!D6*(1+(Assumptions!C29+D29)))*(1+(Assumptions!D29+D29)))*(1+(Assumptions!E29+D29)))*(1+(Assumptions!F29+D29)))*(1+(Assumptions!G29+D29)))*Assumptions!G30)*Assumptions!G36)+((((((('Income Statement'!D6*(1+(Assumptions!C29+D29)))*(1+(Assumptions!D29+D29)))*(1+(Assumptions!E29+D29)))*(1+(Assumptions!F29+D29)))*(1+(Assumptions!G29+D29)))*Assumptions!G30)*Assumptions!G37))-((((((('Income Statement'!D6*(1+(Assumptions!C29+D29)))*(1+(Assumptions!D29+D29)))*(1+(Assumptions!E29+D29)))*(1+(Assumptions!F29+D29)))*(1+(Assumptions!G29+D29)))*Assumptions!G30)*Assumptions!G38))-MAX(((((((('Income Statement'!D6*(1+(Assumptions!C29+D29)))*(1+(Assumptions!D29+D29)))*(1+(Assumptions!E29+D29)))*(1+(Assumptions!F29+D29)))*(1+(Assumptions!G29+D29)))*Assumptions!G30)-((((((('Income Statement'!D6*(1+(Assumptions!C29+D29)))*(1+(Assumptions!D29+D29)))*(1+(Assumptions!E29+D29)))*(1+(Assumptions!F29+D29)))*(1+(Assumptions!G29+D29)))*(Assumptions!G31+D30))+((((((('Income Statement'!D6*(1+(Assumptions!C29+D29)))*(1+(Assumptions!D29+D29)))*(1+(Assumptions!E29+D29)))*(1+(Assumptions!F29+D29)))*(1+(Assumptions!G29+D29)))*Assumptions!G30)*Assumptions!G32)+((((((('Income Statement'!D6*(1+(Assumptions!C29+D29)))*(1+(Assumptions!D29+D29)))*(1+(Assumptions!E29+D29)))*(1+(Assumptions!F29+D29)))*(1+(Assumptions!G29+D29)))*Assumptions!G30)*Assumptions!G33)+((((((('Income Statement'!D6*(1+(Assumptions!C29+D29)))*(1+(Assumptions!D29+D29)))*(1+(Assumptions!E29+D29)))*(1+(Assumptions!F29+D29)))*(1+(Assumptions!G29+D29)))*Assumptions!G30)*Assumptions!G34)+((((((('Income Statement'!D6*(1+(Assumptions!C29+D29)))*(1+(Assumptions!D29+D29)))*(1+(Assumptions!E29+D29)))*(1+(Assumptions!F29+D29)))*(1+(Assumptions!G29+D29)))*Assumptions!G30)*Assumptions!G35)+((((((('Income Statement'!D6*(1+(Assumptions!C29+D29)))*(1+(Assumptions!D29+D29)))*(1+(Assumptions!E29+D29)))*(1+(Assumptions!F29+D29)))*(1+(Assumptions!G29+D29)))*Assumptions!G30)*Assumptions!G36)+((((((('Income Statement'!D6*(1+(Assumptions!C29+D29)))*(1+(Assumptions!D29+D29)))*(1+(Assumptions!E29+D29)))*(1+(Assumptions!F29+D29)))*(1+(Assumptions!G29+D29)))*Assumptions!G30)*Assumptions!G37))-((((((('Income Statement'!D6*(1+(Assumptions!C29+D29)))*(1+(Assumptions!D29+D29)))*(1+(Assumptions!E29+D29)))*(1+(Assumptions!F29+D29)))*(1+(Assumptions!G29+D29)))*Assumptions!G30)*Assumptions!G38)),0)*Assumptions!G42)+((((((('Income Statement'!D6*(1+(Assumptions!C29+D29)))*(1+(Assumptions!D29+D29)))*(1+(Assumptions!E29+D29)))*(1+(Assumptions!F29+D29)))*(1+(Assumptions!G29+D29)))*Assumptions!G30)*Assumptions!G38)-((((((('Income Statement'!D6*(1+(Assumptions!C29+D29)))*(1+(Assumptions!D29+D29)))*(1+(Assumptions!E29+D29)))*(1+(Assumptions!F29+D29)))*(1+(Assumptions!G29+D29)))*Assumptions!G30)*Assumptions!G43)-(Assumptions!G44*((((((('Income Statement'!D6*(1+(Assumptions!C29+D29)))*(1+(Assumptions!D29+D29)))*(1+(Assumptions!E29+D29)))*(1+(Assumptions!F29+D29)))*(1+(Assumptions!G29+D29)))*Assumptions!G30)-((((('Income Statement'!D6*(1+(Assumptions!C29+D29)))*(1+(Assumptions!D29+D29)))*(1+(Assumptions!E29+D29)))*(1+(Assumptions!F29+D29)))*Assumptions!F30)))-(Assumptions!G48*((((((('Income Statement'!D6*(1+(Assumptions!C29+D29)))*(1+(Assumptions!D29+D29)))*(1+(Assumptions!E29+D29)))*(1+(Assumptions!F29+D29)))*(1+(Assumptions!G29+D29)))*Assumptions!G46)-((((('Income Statement'!D6*(1+(Assumptions!C29+D29)))*(1+(Assumptions!D29+D29)))*(1+(Assumptions!E29+D29)))*(1+(Assumptions!F29+D29)))*Assumptions!F46))))/(1+D31)^4.5))+((((((((((('Income Statement'!D6*(1+(Assumptions!C29+D29)))*(1+(Assumptions!D29+D29)))*(1+(Assumptions!E29+D29)))*(1+(Assumptions!F29+D29)))*(1+(Assumptions!G29+D29)))*Assumptions!G30)-((((((('Income Statement'!D6*(1+(Assumptions!C29+D29)))*(1+(Assumptions!D29+D29)))*(1+(Assumptions!E29+D29)))*(1+(Assumptions!F29+D29)))*(1+(Assumptions!G29+D29)))*(Assumptions!G31+D30))+((((((('Income Statement'!D6*(1+(Assumptions!C29+D29)))*(1+(Assumptions!D29+D29)))*(1+(Assumptions!E29+D29)))*(1+(Assumptions!F29+D29)))*(1+(Assumptions!G29+D29)))*Assumptions!G30)*Assumptions!G32)+((((((('Income Statement'!D6*(1+(Assumptions!C29+D29)))*(1+(Assumptions!D29+D29)))*(1+(Assumptions!E29+D29)))*(1+(Assumptions!F29+D29)))*(1+(Assumptions!G29+D29)))*Assumptions!G30)*Assumptions!G33)+((((((('Income Statement'!D6*(1+(Assumptions!C29+D29)))*(1+(Assumptions!D29+D29)))*(1+(Assumptions!E29+D29)))*(1+(Assumptions!F29+D29)))*(1+(Assumptions!G29+D29)))*Assumptions!G30)*Assumptions!G34)+((((((('Income Statement'!D6*(1+(Assumptions!C29+D29)))*(1+(Assumptions!D29+D29)))*(1+(Assumptions!E29+D29)))*(1+(Assumptions!F29+D29)))*(1+(Assumptions!G29+D29)))*Assumptions!G30)*Assumptions!G35)+((((((('Income Statement'!D6*(1+(Assumptions!C29+D29)))*(1+(Assumptions!D29+D29)))*(1+(Assumptions!E29+D29)))*(1+(Assumptions!F29+D29)))*(1+(Assumptions!G29+D29)))*Assumptions!G30)*Assumptions!G36)+((((((('Income Statement'!D6*(1+(Assumptions!C29+D29)))*(1+(Assumptions!D29+D29)))*(1+(Assumptions!E29+D29)))*(1+(Assumptions!F29+D29)))*(1+(Assumptions!G29+D29)))*Assumptions!G30)*Assumptions!G37))-((((((('Income Statement'!D6*(1+(Assumptions!C29+D29)))*(1+(Assumptions!D29+D29)))*(1+(Assumptions!E29+D29)))*(1+(Assumptions!F29+D29)))*(1+(Assumptions!G29+D29)))*Assumptions!G30)*Assumptions!G38))-MAX(((((((('Income Statement'!D6*(1+(Assumptions!C29+D29)))*(1+(Assumptions!D29+D29)))*(1+(Assumptions!E29+D29)))*(1+(Assumptions!F29+D29)))*(1+(Assumptions!G29+D29)))*Assumptions!G30)-((((((('Income Statement'!D6*(1+(Assumptions!C29+D29)))*(1+(Assumptions!D29+D29)))*(1+(Assumptions!E29+D29)))*(1+(Assumptions!F29+D29)))*(1+(Assumptions!G29+D29)))*(Assumptions!G31+D30))+((((((('Income Statement'!D6*(1+(Assumptions!C29+D29)))*(1+(Assumptions!D29+D29)))*(1+(Assumptions!E29+D29)))*(1+(Assumptions!F29+D29)))*(1+(Assumptions!G29+D29)))*Assumptions!G30)*Assumptions!G32)+((((((('Income Statement'!D6*(1+(Assumptions!C29+D29)))*(1+(Assumptions!D29+D29)))*(1+(Assumptions!E29+D29)))*(1+(Assumptions!F29+D29)))*(1+(Assumptions!G29+D29)))*Assumptions!G30)*Assumptions!G33)+((((((('Income Statement'!D6*(1+(Assumptions!C29+D29)))*(1+(Assumptions!D29+D29)))*(1+(Assumptions!E29+D29)))*(1+(Assumptions!F29+D29)))*(1+(Assumptions!G29+D29)))*Assumptions!G30)*Assumptions!G34)+((((((('Income Statement'!D6*(1+(Assumptions!C29+D29)))*(1+(Assumptions!D29+D29)))*(1+(Assumptions!E29+D29)))*(1+(Assumptions!F29+D29)))*(1+(Assumptions!G29+D29)))*Assumptions!G30)*Assumptions!G35)+((((((('Income Statement'!D6*(1+(Assumptions!C29+D29)))*(1+(Assumptions!D29+D29)))*(1+(Assumptions!E29+D29)))*(1+(Assumptions!F29+D29)))*(1+(Assumptions!G29+D29)))*Assumptions!G30)*Assumptions!G36)+((((((('Income Statement'!D6*(1+(Assumptions!C29+D29)))*(1+(Assumptions!D29+D29)))*(1+(Assumptions!E29+D29)))*(1+(Assumptions!F29+D29)))*(1+(Assumptions!G29+D29)))*Assumptions!G30)*Assumptions!G37))-((((((('Income Statement'!D6*(1+(Assumptions!C29+D29)))*(1+(Assumptions!D29+D29)))*(1+(Assumptions!E29+D29)))*(1+(Assumptions!F29+D29)))*(1+(Assumptions!G29+D29)))*Assumptions!G30)*Assumptions!G38)),0)*Assumptions!G42)+((((((('Income Statement'!D6*(1+(Assumptions!C29+D29)))*(1+(Assumptions!D29+D29)))*(1+(Assumptions!E29+D29)))*(1+(Assumptions!F29+D29)))*(1+(Assumptions!G29+D29)))*Assumptions!G30)*Assumptions!G38)-((((((('Income Statement'!D6*(1+(Assumptions!C29+D29)))*(1+(Assumptions!D29+D29)))*(1+(Assumptions!E29+D29)))*(1+(Assumptions!F29+D29)))*(1+(Assumptions!G29+D29)))*Assumptions!G30)*Assumptions!G43)-(Assumptions!G44*((((((('Income Statement'!D6*(1+(Assumptions!C29+D29)))*(1+(Assumptions!D29+D29)))*(1+(Assumptions!E29+D29)))*(1+(Assumptions!F29+D29)))*(1+(Assumptions!G29+D29)))*Assumptions!G30)-((((('Income Statement'!D6*(1+(Assumptions!C29+D29)))*(1+(Assumptions!D29+D29)))*(1+(Assumptions!E29+D29)))*(1+(Assumptions!F29+D29)))*Assumptions!F30)))-(Assumptions!G48*((((((('Income Statement'!D6*(1+(Assumptions!C29+D29)))*(1+(Assumptions!D29+D29)))*(1+(Assumptions!E29+D29)))*(1+(Assumptions!F29+D29)))*(1+(Assumptions!G29+D29)))*Assumptions!G46)-((((('Income Statement'!D6*(1+(Assumptions!C29+D29)))*(1+(Assumptions!D29+D29)))*(1+(Assumptions!E29+D29)))*(1+(Assumptions!F29+D29)))*Assumptions!F46))))*(1+Assumptions!$C$61)/(D31-Assumptions!$C$61))/(1+D31)^5))-Assumptions!$C$25)/Assumptions!$C$21</f>
        <v>46.7241853914317</v>
      </c>
    </row>
    <row r="34" customFormat="false" ht="15" hidden="false" customHeight="false" outlineLevel="0" collapsed="false">
      <c r="A34" s="35" t="s">
        <v>365</v>
      </c>
      <c r="B34" s="53" t="n">
        <f aca="false">B33*Assumptions!$C$21</f>
        <v>2858.15491092807</v>
      </c>
      <c r="C34" s="53" t="n">
        <f aca="false">C33*Assumptions!$C$21</f>
        <v>8728.05640480267</v>
      </c>
      <c r="D34" s="53" t="n">
        <f aca="false">D33*Assumptions!$C$21</f>
        <v>17652.3972408829</v>
      </c>
    </row>
    <row r="36" customFormat="false" ht="39.75" hidden="false" customHeight="true" outlineLevel="0" collapsed="false">
      <c r="A36" s="36" t="s">
        <v>366</v>
      </c>
      <c r="B36" s="36"/>
      <c r="C36" s="36"/>
      <c r="D36" s="36"/>
      <c r="E36" s="36"/>
      <c r="F36" s="36"/>
      <c r="G36" s="36"/>
      <c r="H36" s="36"/>
    </row>
  </sheetData>
  <mergeCells count="9">
    <mergeCell ref="A1:H1"/>
    <mergeCell ref="A2:H2"/>
    <mergeCell ref="A4:G4"/>
    <mergeCell ref="A5:H5"/>
    <mergeCell ref="A16:G16"/>
    <mergeCell ref="A17:H17"/>
    <mergeCell ref="A25:H25"/>
    <mergeCell ref="A27:G27"/>
    <mergeCell ref="A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D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4"/>
    <col collapsed="false" customWidth="true" hidden="false" outlineLevel="0" max="5" min="5" style="0" width="3"/>
    <col collapsed="false" customWidth="true" hidden="false" outlineLevel="0" max="6" min="6" style="0" width="40"/>
  </cols>
  <sheetData>
    <row r="1" customFormat="false" ht="24" hidden="false" customHeight="true" outlineLevel="0" collapsed="false">
      <c r="A1" s="16" t="s">
        <v>367</v>
      </c>
      <c r="B1" s="16"/>
      <c r="C1" s="16"/>
      <c r="D1" s="16"/>
    </row>
    <row r="2" customFormat="false" ht="15.75" hidden="false" customHeight="true" outlineLevel="0" collapsed="false">
      <c r="A2" s="17" t="s">
        <v>368</v>
      </c>
      <c r="B2" s="17"/>
      <c r="C2" s="17"/>
      <c r="D2" s="17"/>
    </row>
    <row r="4" customFormat="false" ht="18" hidden="false" customHeight="true" outlineLevel="0" collapsed="false">
      <c r="A4" s="6" t="s">
        <v>369</v>
      </c>
      <c r="B4" s="6"/>
      <c r="C4" s="6"/>
    </row>
    <row r="5" customFormat="false" ht="15" hidden="false" customHeight="false" outlineLevel="0" collapsed="false">
      <c r="B5" s="19" t="s">
        <v>298</v>
      </c>
      <c r="C5" s="19" t="s">
        <v>300</v>
      </c>
    </row>
    <row r="6" customFormat="false" ht="15" hidden="false" customHeight="false" outlineLevel="0" collapsed="false">
      <c r="A6" s="20" t="s">
        <v>370</v>
      </c>
      <c r="B6" s="79" t="n">
        <f aca="false">'Stress Testing'!B34/1000</f>
        <v>2.85815491092807</v>
      </c>
      <c r="C6" s="79" t="n">
        <f aca="false">'Stress Testing'!D34/1000</f>
        <v>17.6523972408829</v>
      </c>
      <c r="D6" s="66" t="n">
        <f aca="false">C6-B6</f>
        <v>14.7942423299548</v>
      </c>
    </row>
    <row r="7" customFormat="false" ht="15" hidden="false" customHeight="false" outlineLevel="0" collapsed="false">
      <c r="A7" s="20" t="s">
        <v>371</v>
      </c>
      <c r="B7" s="79" t="n">
        <f aca="false">6.7</f>
        <v>6.7</v>
      </c>
      <c r="C7" s="79" t="n">
        <f aca="false">6.7</f>
        <v>6.7</v>
      </c>
      <c r="D7" s="66" t="n">
        <f aca="false">C7-B7</f>
        <v>0</v>
      </c>
    </row>
    <row r="8" customFormat="false" ht="15" hidden="false" customHeight="false" outlineLevel="0" collapsed="false">
      <c r="A8" s="20" t="s">
        <v>372</v>
      </c>
      <c r="B8" s="79" t="n">
        <f aca="false">MIN('Stress Testing'!B7:F11)*Assumptions!$C$21/1000</f>
        <v>6.42414330944016</v>
      </c>
      <c r="C8" s="79" t="n">
        <f aca="false">MAX('Stress Testing'!B7:F11)*Assumptions!$C$21/1000</f>
        <v>14.166705498491</v>
      </c>
      <c r="D8" s="66" t="n">
        <f aca="false">C8-B8</f>
        <v>7.74256218905081</v>
      </c>
    </row>
    <row r="9" customFormat="false" ht="15" hidden="false" customHeight="false" outlineLevel="0" collapsed="false">
      <c r="A9" s="20" t="s">
        <v>373</v>
      </c>
      <c r="B9" s="79" t="n">
        <f aca="false">'DCF Valuation'!E41/1000</f>
        <v>8.72805640480267</v>
      </c>
      <c r="C9" s="79" t="n">
        <f aca="false">'DCF Valuation'!E41/1000</f>
        <v>8.72805640480267</v>
      </c>
      <c r="D9" s="66" t="n">
        <f aca="false">C9-B9</f>
        <v>0</v>
      </c>
    </row>
    <row r="10" customFormat="false" ht="15" hidden="false" customHeight="false" outlineLevel="0" collapsed="false">
      <c r="A10" s="20" t="s">
        <v>374</v>
      </c>
      <c r="B10" s="79" t="n">
        <f aca="false">'Comps - Revenue Multiples'!B23/1000</f>
        <v>14.4269064</v>
      </c>
      <c r="C10" s="79" t="n">
        <f aca="false">'Comps - Revenue Multiples'!D23/1000</f>
        <v>25.4493284</v>
      </c>
      <c r="D10" s="66" t="n">
        <f aca="false">C10-B10</f>
        <v>11.022422</v>
      </c>
    </row>
    <row r="11" customFormat="false" ht="15" hidden="false" customHeight="false" outlineLevel="0" collapsed="false">
      <c r="A11" s="20" t="s">
        <v>375</v>
      </c>
      <c r="B11" s="79" t="n">
        <f aca="false">15.1</f>
        <v>15.1</v>
      </c>
      <c r="C11" s="79" t="n">
        <f aca="false">15.1</f>
        <v>15.1</v>
      </c>
      <c r="D11" s="66" t="n">
        <f aca="false">C11-B11</f>
        <v>0</v>
      </c>
    </row>
    <row r="12" customFormat="false" ht="15" hidden="false" customHeight="false" outlineLevel="0" collapsed="false">
      <c r="A12" s="20" t="s">
        <v>376</v>
      </c>
      <c r="B12" s="79" t="n">
        <f aca="false">19.65</f>
        <v>19.65</v>
      </c>
      <c r="C12" s="79" t="n">
        <f aca="false">19.65</f>
        <v>19.65</v>
      </c>
      <c r="D12" s="66" t="n">
        <f aca="false">C12-B12</f>
        <v>0</v>
      </c>
    </row>
    <row r="13" customFormat="false" ht="15" hidden="false" customHeight="false" outlineLevel="0" collapsed="false">
      <c r="A13" s="20" t="s">
        <v>377</v>
      </c>
      <c r="B13" s="79" t="n">
        <f aca="false">45.6</f>
        <v>45.6</v>
      </c>
      <c r="C13" s="79" t="n">
        <f aca="false">45.6</f>
        <v>45.6</v>
      </c>
      <c r="D13" s="66" t="n">
        <f aca="false">C13-B13</f>
        <v>0</v>
      </c>
    </row>
    <row r="14" customFormat="false" ht="15" hidden="false" customHeight="false" outlineLevel="0" collapsed="false">
      <c r="A14" s="20"/>
    </row>
    <row r="15" customFormat="false" ht="15" hidden="false" customHeight="false" outlineLevel="0" collapsed="false">
      <c r="A15" s="67" t="s">
        <v>378</v>
      </c>
      <c r="B15" s="67" t="s">
        <v>344</v>
      </c>
      <c r="C15" s="67" t="s">
        <v>379</v>
      </c>
    </row>
    <row r="16" customFormat="false" ht="15" hidden="false" customHeight="false" outlineLevel="0" collapsed="false">
      <c r="A16" s="0" t="str">
        <f aca="false">A6</f>
        <v>DCF — Bear/Bull scenario range</v>
      </c>
      <c r="B16" s="80" t="n">
        <f aca="false">B6</f>
        <v>2.85815491092807</v>
      </c>
      <c r="C16" s="80" t="n">
        <f aca="false">C6-B6</f>
        <v>14.7942423299548</v>
      </c>
    </row>
    <row r="17" customFormat="false" ht="15" hidden="false" customHeight="false" outlineLevel="0" collapsed="false">
      <c r="A17" s="0" t="str">
        <f aca="false">A7</f>
        <v>Precedent: 2022 down round (trough)</v>
      </c>
      <c r="B17" s="80" t="n">
        <f aca="false">B7</f>
        <v>6.7</v>
      </c>
      <c r="C17" s="80" t="n">
        <f aca="false">C7-B7</f>
        <v>0</v>
      </c>
    </row>
    <row r="18" customFormat="false" ht="15" hidden="false" customHeight="false" outlineLevel="0" collapsed="false">
      <c r="A18" s="0" t="str">
        <f aca="false">A8</f>
        <v>DCF — WACC/growth sensitivity range (Grid 1)</v>
      </c>
      <c r="B18" s="80" t="n">
        <f aca="false">B8</f>
        <v>6.42414330944016</v>
      </c>
      <c r="C18" s="80" t="n">
        <f aca="false">C8-B8</f>
        <v>7.74256218905081</v>
      </c>
    </row>
    <row r="19" customFormat="false" ht="15" hidden="false" customHeight="false" outlineLevel="0" collapsed="false">
      <c r="A19" s="0" t="str">
        <f aca="false">A9</f>
        <v>DCF — Base case (point estimate)</v>
      </c>
      <c r="B19" s="80" t="n">
        <f aca="false">B9</f>
        <v>8.72805640480267</v>
      </c>
      <c r="C19" s="80" t="n">
        <f aca="false">C9-B9</f>
        <v>0</v>
      </c>
    </row>
    <row r="20" customFormat="false" ht="15" hidden="false" customHeight="false" outlineLevel="0" collapsed="false">
      <c r="A20" s="0" t="str">
        <f aca="false">A10</f>
        <v>EV/Revenue comps (3.0x–5.5x FY2026E)</v>
      </c>
      <c r="B20" s="80" t="n">
        <f aca="false">B10</f>
        <v>14.4269064</v>
      </c>
      <c r="C20" s="80" t="n">
        <f aca="false">C10-B10</f>
        <v>11.022422</v>
      </c>
    </row>
    <row r="21" customFormat="false" ht="15" hidden="false" customHeight="false" outlineLevel="0" collapsed="false">
      <c r="A21" s="0" t="str">
        <f aca="false">A11</f>
        <v>Actual: IPO offer price</v>
      </c>
      <c r="B21" s="80" t="n">
        <f aca="false">B11</f>
        <v>15.1</v>
      </c>
      <c r="C21" s="80" t="n">
        <f aca="false">C11-B11</f>
        <v>0</v>
      </c>
    </row>
    <row r="22" customFormat="false" ht="15" hidden="false" customHeight="false" outlineLevel="0" collapsed="false">
      <c r="A22" s="0" t="str">
        <f aca="false">A12</f>
        <v>Actual: Day-1 closing price</v>
      </c>
      <c r="B22" s="80" t="n">
        <f aca="false">B12</f>
        <v>19.65</v>
      </c>
      <c r="C22" s="80" t="n">
        <f aca="false">C12-B12</f>
        <v>0</v>
      </c>
    </row>
    <row r="23" customFormat="false" ht="15" hidden="false" customHeight="false" outlineLevel="0" collapsed="false">
      <c r="A23" s="0" t="str">
        <f aca="false">A13</f>
        <v>Precedent: 2021 SoftBank round (peak)</v>
      </c>
      <c r="B23" s="80" t="n">
        <f aca="false">B13</f>
        <v>45.6</v>
      </c>
      <c r="C23" s="80" t="n">
        <f aca="false">C13-B13</f>
        <v>0</v>
      </c>
    </row>
    <row r="47" customFormat="false" ht="94.5" hidden="false" customHeight="true" outlineLevel="0" collapsed="false">
      <c r="A47" s="36" t="s">
        <v>380</v>
      </c>
      <c r="B47" s="36"/>
      <c r="C47" s="36"/>
      <c r="D47" s="36"/>
    </row>
  </sheetData>
  <mergeCells count="4">
    <mergeCell ref="A1:D1"/>
    <mergeCell ref="A2:D2"/>
    <mergeCell ref="A4:C4"/>
    <mergeCell ref="A47:D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2026-09-11T05:50:50Z</dcterms:created>
  <dc:creator>openpyxl</dc:creator>
  <dc:description/>
  <dc:language>en-US</dc:language>
  <cp:lastModifiedBy/>
  <dcterms:modified xsi:type="dcterms:W3CDTF">2026-09-11T05:51:10Z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